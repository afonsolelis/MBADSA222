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drawings/drawing4.xml" ContentType="application/vnd.openxmlformats-officedocument.drawing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cege.sharepoint.com/sites/FS-Planejamento/Documentos Compartilhados/02. MBA USP_ESALQ/semana 05.02 a 09.02.2024/Fabiano Guasti Lima 06 e 20.02.2024/Material complementar pós-aula 06.02.2024/"/>
    </mc:Choice>
  </mc:AlternateContent>
  <xr:revisionPtr revIDLastSave="0" documentId="13_ncr:1_{9E38439B-C6F5-5F49-9EE3-A5F971B3FF61}" xr6:coauthVersionLast="47" xr6:coauthVersionMax="47" xr10:uidLastSave="{00000000-0000-0000-0000-000000000000}"/>
  <bookViews>
    <workbookView xWindow="-108" yWindow="-108" windowWidth="23256" windowHeight="12456" activeTab="4" xr2:uid="{078EFBBF-B166-E142-AA4B-D43E54530C85}"/>
  </bookViews>
  <sheets>
    <sheet name="Risco e Volatilidade" sheetId="3" r:id="rId1"/>
    <sheet name="Correlação" sheetId="4" r:id="rId2"/>
    <sheet name="Markowitz" sheetId="5" r:id="rId3"/>
    <sheet name="Matriz de Correlação" sheetId="8" r:id="rId4"/>
    <sheet name="Matriz de Covariâncias" sheetId="9" r:id="rId5"/>
    <sheet name="Cotações Google Planilhas" sheetId="7" r:id="rId6"/>
    <sheet name="Risco Crédito" sheetId="1" r:id="rId7"/>
    <sheet name="Risco Operacional" sheetId="2" r:id="rId8"/>
    <sheet name="Fluxos de Caixa e Riscos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1" i="1"/>
  <c r="F48" i="1"/>
  <c r="D45" i="1"/>
  <c r="D46" i="1"/>
  <c r="D47" i="1"/>
  <c r="D48" i="1"/>
  <c r="D49" i="1"/>
  <c r="D50" i="1"/>
  <c r="D44" i="1"/>
  <c r="D43" i="1"/>
  <c r="D39" i="1"/>
  <c r="D32" i="1"/>
  <c r="D33" i="1"/>
  <c r="D34" i="1"/>
  <c r="D35" i="1"/>
  <c r="D36" i="1"/>
  <c r="D37" i="1"/>
  <c r="D38" i="1"/>
  <c r="D31" i="1"/>
  <c r="E28" i="1"/>
  <c r="E24" i="1"/>
  <c r="E25" i="1"/>
  <c r="E26" i="1"/>
  <c r="E27" i="1"/>
  <c r="D27" i="1"/>
  <c r="C27" i="1"/>
  <c r="B27" i="1"/>
  <c r="D26" i="1"/>
  <c r="C26" i="1"/>
  <c r="B26" i="1"/>
  <c r="D25" i="1"/>
  <c r="C25" i="1"/>
  <c r="B25" i="1"/>
  <c r="D24" i="1"/>
  <c r="C24" i="1"/>
  <c r="B24" i="1"/>
  <c r="E21" i="1"/>
  <c r="E22" i="1"/>
  <c r="E23" i="1"/>
  <c r="C23" i="1"/>
  <c r="B23" i="1"/>
  <c r="D22" i="1"/>
  <c r="B22" i="1"/>
  <c r="D21" i="1"/>
  <c r="C21" i="1"/>
  <c r="D23" i="1"/>
  <c r="C22" i="1"/>
  <c r="B21" i="1"/>
  <c r="E20" i="1"/>
  <c r="D20" i="1"/>
  <c r="C20" i="1"/>
  <c r="B20" i="1"/>
  <c r="D16" i="1"/>
  <c r="C16" i="1"/>
  <c r="B16" i="1"/>
  <c r="D15" i="1"/>
  <c r="C15" i="1"/>
  <c r="D14" i="1"/>
  <c r="B14" i="1"/>
  <c r="E13" i="1"/>
  <c r="E14" i="1"/>
  <c r="E15" i="1"/>
  <c r="E16" i="1"/>
  <c r="C13" i="1"/>
  <c r="B13" i="1"/>
  <c r="D12" i="1"/>
  <c r="C11" i="1"/>
  <c r="E10" i="1"/>
  <c r="E11" i="1"/>
  <c r="E12" i="1"/>
  <c r="B10" i="1"/>
  <c r="E9" i="1"/>
  <c r="G5" i="1"/>
  <c r="G3" i="1"/>
  <c r="G4" i="1"/>
  <c r="F2" i="1"/>
  <c r="G2" i="1"/>
  <c r="F3" i="1"/>
  <c r="F4" i="1"/>
  <c r="D2" i="1"/>
  <c r="E5" i="9"/>
  <c r="D4" i="9"/>
  <c r="C3" i="9"/>
  <c r="B2" i="9"/>
  <c r="F4" i="7"/>
  <c r="G4" i="7"/>
  <c r="H4" i="7"/>
  <c r="I4" i="7"/>
  <c r="F5" i="7"/>
  <c r="G5" i="7"/>
  <c r="H5" i="7"/>
  <c r="I5" i="7"/>
  <c r="F6" i="7"/>
  <c r="G6" i="7"/>
  <c r="H6" i="7"/>
  <c r="I6" i="7"/>
  <c r="F7" i="7"/>
  <c r="G7" i="7"/>
  <c r="H7" i="7"/>
  <c r="I7" i="7"/>
  <c r="F8" i="7"/>
  <c r="G8" i="7"/>
  <c r="H8" i="7"/>
  <c r="I8" i="7"/>
  <c r="F9" i="7"/>
  <c r="G9" i="7"/>
  <c r="H9" i="7"/>
  <c r="I9" i="7"/>
  <c r="F10" i="7"/>
  <c r="G10" i="7"/>
  <c r="H10" i="7"/>
  <c r="I10" i="7"/>
  <c r="F11" i="7"/>
  <c r="G11" i="7"/>
  <c r="H11" i="7"/>
  <c r="I11" i="7"/>
  <c r="F12" i="7"/>
  <c r="G12" i="7"/>
  <c r="H12" i="7"/>
  <c r="I12" i="7"/>
  <c r="F13" i="7"/>
  <c r="G13" i="7"/>
  <c r="H13" i="7"/>
  <c r="I13" i="7"/>
  <c r="F14" i="7"/>
  <c r="G14" i="7"/>
  <c r="H14" i="7"/>
  <c r="I14" i="7"/>
  <c r="F15" i="7"/>
  <c r="G15" i="7"/>
  <c r="H15" i="7"/>
  <c r="I15" i="7"/>
  <c r="F16" i="7"/>
  <c r="G16" i="7"/>
  <c r="H16" i="7"/>
  <c r="I16" i="7"/>
  <c r="F17" i="7"/>
  <c r="G17" i="7"/>
  <c r="H17" i="7"/>
  <c r="I17" i="7"/>
  <c r="F18" i="7"/>
  <c r="G18" i="7"/>
  <c r="H18" i="7"/>
  <c r="I18" i="7"/>
  <c r="F19" i="7"/>
  <c r="G19" i="7"/>
  <c r="H19" i="7"/>
  <c r="I19" i="7"/>
  <c r="F20" i="7"/>
  <c r="G20" i="7"/>
  <c r="H20" i="7"/>
  <c r="I20" i="7"/>
  <c r="F21" i="7"/>
  <c r="G21" i="7"/>
  <c r="H21" i="7"/>
  <c r="I21" i="7"/>
  <c r="F22" i="7"/>
  <c r="G22" i="7"/>
  <c r="H22" i="7"/>
  <c r="I22" i="7"/>
  <c r="F23" i="7"/>
  <c r="G23" i="7"/>
  <c r="H23" i="7"/>
  <c r="I23" i="7"/>
  <c r="F24" i="7"/>
  <c r="G24" i="7"/>
  <c r="H24" i="7"/>
  <c r="I24" i="7"/>
  <c r="F25" i="7"/>
  <c r="G25" i="7"/>
  <c r="H25" i="7"/>
  <c r="I25" i="7"/>
  <c r="F26" i="7"/>
  <c r="G26" i="7"/>
  <c r="H26" i="7"/>
  <c r="I26" i="7"/>
  <c r="G3" i="7"/>
  <c r="H3" i="7"/>
  <c r="I3" i="7"/>
  <c r="F3" i="7"/>
  <c r="F2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5" i="5"/>
  <c r="D13" i="5"/>
  <c r="J5" i="5"/>
  <c r="C13" i="5"/>
  <c r="B13" i="5"/>
  <c r="E13" i="5"/>
  <c r="A12" i="5"/>
  <c r="C8" i="5"/>
  <c r="C9" i="5"/>
  <c r="B9" i="5"/>
  <c r="B8" i="5"/>
  <c r="T7" i="3"/>
  <c r="D22" i="3"/>
  <c r="D20" i="3"/>
  <c r="D19" i="3"/>
  <c r="C22" i="3"/>
  <c r="C20" i="3"/>
  <c r="C19" i="3"/>
  <c r="H13" i="3"/>
  <c r="I13" i="3"/>
  <c r="H14" i="3"/>
  <c r="I14" i="3"/>
  <c r="G14" i="3"/>
  <c r="G13" i="3"/>
  <c r="H9" i="3"/>
  <c r="I9" i="3"/>
  <c r="H10" i="3"/>
  <c r="I10" i="3"/>
  <c r="H11" i="3"/>
  <c r="I11" i="3"/>
  <c r="G10" i="3"/>
  <c r="G11" i="3"/>
  <c r="G9" i="3"/>
  <c r="C13" i="3"/>
  <c r="D13" i="3"/>
  <c r="C14" i="3"/>
  <c r="D14" i="3"/>
  <c r="B14" i="3"/>
  <c r="B13" i="3"/>
  <c r="C9" i="3"/>
  <c r="D9" i="3"/>
  <c r="C10" i="3"/>
  <c r="D10" i="3"/>
  <c r="C11" i="3"/>
  <c r="D11" i="3"/>
  <c r="B10" i="3"/>
  <c r="B11" i="3"/>
  <c r="B9" i="3"/>
  <c r="L118" i="4"/>
  <c r="I118" i="4"/>
  <c r="F118" i="4"/>
  <c r="C118" i="4"/>
  <c r="L117" i="4"/>
  <c r="I117" i="4"/>
  <c r="F117" i="4"/>
  <c r="C117" i="4"/>
  <c r="L116" i="4"/>
  <c r="I116" i="4"/>
  <c r="F116" i="4"/>
  <c r="C116" i="4"/>
  <c r="L115" i="4"/>
  <c r="I115" i="4"/>
  <c r="F115" i="4"/>
  <c r="C115" i="4"/>
  <c r="L114" i="4"/>
  <c r="I114" i="4"/>
  <c r="F114" i="4"/>
  <c r="C114" i="4"/>
  <c r="L113" i="4"/>
  <c r="I113" i="4"/>
  <c r="F113" i="4"/>
  <c r="C113" i="4"/>
  <c r="L112" i="4"/>
  <c r="I112" i="4"/>
  <c r="F112" i="4"/>
  <c r="C112" i="4"/>
  <c r="L111" i="4"/>
  <c r="I111" i="4"/>
  <c r="F111" i="4"/>
  <c r="C111" i="4"/>
  <c r="L110" i="4"/>
  <c r="I110" i="4"/>
  <c r="F110" i="4"/>
  <c r="C110" i="4"/>
  <c r="L109" i="4"/>
  <c r="I109" i="4"/>
  <c r="F109" i="4"/>
  <c r="C109" i="4"/>
  <c r="L108" i="4"/>
  <c r="I108" i="4"/>
  <c r="F108" i="4"/>
  <c r="C108" i="4"/>
  <c r="L107" i="4"/>
  <c r="I107" i="4"/>
  <c r="F107" i="4"/>
  <c r="C107" i="4"/>
  <c r="L106" i="4"/>
  <c r="I106" i="4"/>
  <c r="F106" i="4"/>
  <c r="C106" i="4"/>
  <c r="L105" i="4"/>
  <c r="I105" i="4"/>
  <c r="F105" i="4"/>
  <c r="C105" i="4"/>
  <c r="L104" i="4"/>
  <c r="I104" i="4"/>
  <c r="F104" i="4"/>
  <c r="C104" i="4"/>
  <c r="L103" i="4"/>
  <c r="I103" i="4"/>
  <c r="F103" i="4"/>
  <c r="C103" i="4"/>
  <c r="L102" i="4"/>
  <c r="I102" i="4"/>
  <c r="F102" i="4"/>
  <c r="C102" i="4"/>
  <c r="L101" i="4"/>
  <c r="I101" i="4"/>
  <c r="F101" i="4"/>
  <c r="C101" i="4"/>
  <c r="L100" i="4"/>
  <c r="I100" i="4"/>
  <c r="F100" i="4"/>
  <c r="C100" i="4"/>
  <c r="L99" i="4"/>
  <c r="I99" i="4"/>
  <c r="F99" i="4"/>
  <c r="C99" i="4"/>
  <c r="L98" i="4"/>
  <c r="I98" i="4"/>
  <c r="F98" i="4"/>
  <c r="C98" i="4"/>
  <c r="L97" i="4"/>
  <c r="I97" i="4"/>
  <c r="F97" i="4"/>
  <c r="C97" i="4"/>
  <c r="L96" i="4"/>
  <c r="I96" i="4"/>
  <c r="F96" i="4"/>
  <c r="C96" i="4"/>
  <c r="L95" i="4"/>
  <c r="I95" i="4"/>
  <c r="F95" i="4"/>
  <c r="C95" i="4"/>
  <c r="L94" i="4"/>
  <c r="I94" i="4"/>
  <c r="F94" i="4"/>
  <c r="C94" i="4"/>
  <c r="L93" i="4"/>
  <c r="I93" i="4"/>
  <c r="F93" i="4"/>
  <c r="C93" i="4"/>
  <c r="L92" i="4"/>
  <c r="I92" i="4"/>
  <c r="F92" i="4"/>
  <c r="C92" i="4"/>
  <c r="L91" i="4"/>
  <c r="I91" i="4"/>
  <c r="F91" i="4"/>
  <c r="C91" i="4"/>
  <c r="L90" i="4"/>
  <c r="I90" i="4"/>
  <c r="F90" i="4"/>
  <c r="C90" i="4"/>
  <c r="L89" i="4"/>
  <c r="I89" i="4"/>
  <c r="F89" i="4"/>
  <c r="C89" i="4"/>
  <c r="L88" i="4"/>
  <c r="I88" i="4"/>
  <c r="F88" i="4"/>
  <c r="C88" i="4"/>
  <c r="L87" i="4"/>
  <c r="I87" i="4"/>
  <c r="F87" i="4"/>
  <c r="C87" i="4"/>
  <c r="L86" i="4"/>
  <c r="I86" i="4"/>
  <c r="F86" i="4"/>
  <c r="C86" i="4"/>
  <c r="L85" i="4"/>
  <c r="I85" i="4"/>
  <c r="F85" i="4"/>
  <c r="C85" i="4"/>
  <c r="L84" i="4"/>
  <c r="I84" i="4"/>
  <c r="F84" i="4"/>
  <c r="C84" i="4"/>
  <c r="L83" i="4"/>
  <c r="I83" i="4"/>
  <c r="F83" i="4"/>
  <c r="C83" i="4"/>
  <c r="L82" i="4"/>
  <c r="I82" i="4"/>
  <c r="F82" i="4"/>
  <c r="C82" i="4"/>
  <c r="L81" i="4"/>
  <c r="I81" i="4"/>
  <c r="F81" i="4"/>
  <c r="C81" i="4"/>
  <c r="L80" i="4"/>
  <c r="I80" i="4"/>
  <c r="F80" i="4"/>
  <c r="C80" i="4"/>
  <c r="L79" i="4"/>
  <c r="I79" i="4"/>
  <c r="F79" i="4"/>
  <c r="C79" i="4"/>
  <c r="L78" i="4"/>
  <c r="I78" i="4"/>
  <c r="F78" i="4"/>
  <c r="C78" i="4"/>
  <c r="L77" i="4"/>
  <c r="I77" i="4"/>
  <c r="F77" i="4"/>
  <c r="C77" i="4"/>
  <c r="L76" i="4"/>
  <c r="I76" i="4"/>
  <c r="F76" i="4"/>
  <c r="C76" i="4"/>
  <c r="L75" i="4"/>
  <c r="I75" i="4"/>
  <c r="F75" i="4"/>
  <c r="C75" i="4"/>
  <c r="L74" i="4"/>
  <c r="I74" i="4"/>
  <c r="F74" i="4"/>
  <c r="C74" i="4"/>
  <c r="L73" i="4"/>
  <c r="I73" i="4"/>
  <c r="F73" i="4"/>
  <c r="C73" i="4"/>
  <c r="L72" i="4"/>
  <c r="I72" i="4"/>
  <c r="F72" i="4"/>
  <c r="C72" i="4"/>
  <c r="L71" i="4"/>
  <c r="I71" i="4"/>
  <c r="F71" i="4"/>
  <c r="C71" i="4"/>
  <c r="L70" i="4"/>
  <c r="I70" i="4"/>
  <c r="F70" i="4"/>
  <c r="C70" i="4"/>
  <c r="L69" i="4"/>
  <c r="I69" i="4"/>
  <c r="F69" i="4"/>
  <c r="C69" i="4"/>
  <c r="L68" i="4"/>
  <c r="I68" i="4"/>
  <c r="F68" i="4"/>
  <c r="C68" i="4"/>
  <c r="L67" i="4"/>
  <c r="I67" i="4"/>
  <c r="F67" i="4"/>
  <c r="C67" i="4"/>
  <c r="L66" i="4"/>
  <c r="I66" i="4"/>
  <c r="F66" i="4"/>
  <c r="C66" i="4"/>
  <c r="L65" i="4"/>
  <c r="I65" i="4"/>
  <c r="F65" i="4"/>
  <c r="C65" i="4"/>
  <c r="L64" i="4"/>
  <c r="I64" i="4"/>
  <c r="F64" i="4"/>
  <c r="C64" i="4"/>
  <c r="L63" i="4"/>
  <c r="I63" i="4"/>
  <c r="F63" i="4"/>
  <c r="C63" i="4"/>
  <c r="L62" i="4"/>
  <c r="I62" i="4"/>
  <c r="F62" i="4"/>
  <c r="C62" i="4"/>
  <c r="L61" i="4"/>
  <c r="I61" i="4"/>
  <c r="F61" i="4"/>
  <c r="C61" i="4"/>
  <c r="L60" i="4"/>
  <c r="I60" i="4"/>
  <c r="F60" i="4"/>
  <c r="C60" i="4"/>
  <c r="L59" i="4"/>
  <c r="I59" i="4"/>
  <c r="F59" i="4"/>
  <c r="C59" i="4"/>
  <c r="L58" i="4"/>
  <c r="I58" i="4"/>
  <c r="F58" i="4"/>
  <c r="C58" i="4"/>
  <c r="L57" i="4"/>
  <c r="I57" i="4"/>
  <c r="F57" i="4"/>
  <c r="C57" i="4"/>
  <c r="L56" i="4"/>
  <c r="I56" i="4"/>
  <c r="F56" i="4"/>
  <c r="C56" i="4"/>
  <c r="L55" i="4"/>
  <c r="I55" i="4"/>
  <c r="F55" i="4"/>
  <c r="C55" i="4"/>
  <c r="L54" i="4"/>
  <c r="I54" i="4"/>
  <c r="F54" i="4"/>
  <c r="C54" i="4"/>
  <c r="L53" i="4"/>
  <c r="I53" i="4"/>
  <c r="F53" i="4"/>
  <c r="C53" i="4"/>
  <c r="L52" i="4"/>
  <c r="I52" i="4"/>
  <c r="F52" i="4"/>
  <c r="C52" i="4"/>
  <c r="L51" i="4"/>
  <c r="I51" i="4"/>
  <c r="F51" i="4"/>
  <c r="C51" i="4"/>
  <c r="L50" i="4"/>
  <c r="I50" i="4"/>
  <c r="F50" i="4"/>
  <c r="C50" i="4"/>
  <c r="L49" i="4"/>
  <c r="I49" i="4"/>
  <c r="F49" i="4"/>
  <c r="C49" i="4"/>
  <c r="L48" i="4"/>
  <c r="I48" i="4"/>
  <c r="F48" i="4"/>
  <c r="C48" i="4"/>
  <c r="L47" i="4"/>
  <c r="I47" i="4"/>
  <c r="F47" i="4"/>
  <c r="C47" i="4"/>
  <c r="L46" i="4"/>
  <c r="I46" i="4"/>
  <c r="F46" i="4"/>
  <c r="C46" i="4"/>
  <c r="L45" i="4"/>
  <c r="I45" i="4"/>
  <c r="F45" i="4"/>
  <c r="C45" i="4"/>
  <c r="L44" i="4"/>
  <c r="I44" i="4"/>
  <c r="F44" i="4"/>
  <c r="C44" i="4"/>
  <c r="L43" i="4"/>
  <c r="I43" i="4"/>
  <c r="F43" i="4"/>
  <c r="C43" i="4"/>
  <c r="L42" i="4"/>
  <c r="I42" i="4"/>
  <c r="F42" i="4"/>
  <c r="C42" i="4"/>
  <c r="L41" i="4"/>
  <c r="I41" i="4"/>
  <c r="F41" i="4"/>
  <c r="C41" i="4"/>
  <c r="L40" i="4"/>
  <c r="I40" i="4"/>
  <c r="F40" i="4"/>
  <c r="C40" i="4"/>
  <c r="L39" i="4"/>
  <c r="I39" i="4"/>
  <c r="F39" i="4"/>
  <c r="C39" i="4"/>
  <c r="L38" i="4"/>
  <c r="I38" i="4"/>
  <c r="F38" i="4"/>
  <c r="C38" i="4"/>
  <c r="L37" i="4"/>
  <c r="I37" i="4"/>
  <c r="F37" i="4"/>
  <c r="C37" i="4"/>
  <c r="L36" i="4"/>
  <c r="I36" i="4"/>
  <c r="F36" i="4"/>
  <c r="C36" i="4"/>
  <c r="L35" i="4"/>
  <c r="I35" i="4"/>
  <c r="F35" i="4"/>
  <c r="C35" i="4"/>
  <c r="L34" i="4"/>
  <c r="I34" i="4"/>
  <c r="F34" i="4"/>
  <c r="C34" i="4"/>
  <c r="L33" i="4"/>
  <c r="I33" i="4"/>
  <c r="F33" i="4"/>
  <c r="C33" i="4"/>
  <c r="L32" i="4"/>
  <c r="I32" i="4"/>
  <c r="F32" i="4"/>
  <c r="C32" i="4"/>
  <c r="L31" i="4"/>
  <c r="I31" i="4"/>
  <c r="F31" i="4"/>
  <c r="C31" i="4"/>
  <c r="L30" i="4"/>
  <c r="I30" i="4"/>
  <c r="F30" i="4"/>
  <c r="C30" i="4"/>
  <c r="L29" i="4"/>
  <c r="I29" i="4"/>
  <c r="F29" i="4"/>
  <c r="C29" i="4"/>
  <c r="L28" i="4"/>
  <c r="I28" i="4"/>
  <c r="F28" i="4"/>
  <c r="C28" i="4"/>
  <c r="L27" i="4"/>
  <c r="I27" i="4"/>
  <c r="F27" i="4"/>
  <c r="C27" i="4"/>
  <c r="L26" i="4"/>
  <c r="I26" i="4"/>
  <c r="F26" i="4"/>
  <c r="C26" i="4"/>
  <c r="L25" i="4"/>
  <c r="I25" i="4"/>
  <c r="F25" i="4"/>
  <c r="C25" i="4"/>
  <c r="L24" i="4"/>
  <c r="I24" i="4"/>
  <c r="F24" i="4"/>
  <c r="C24" i="4"/>
  <c r="L23" i="4"/>
  <c r="I23" i="4"/>
  <c r="F23" i="4"/>
  <c r="C23" i="4"/>
  <c r="L22" i="4"/>
  <c r="I22" i="4"/>
  <c r="F22" i="4"/>
  <c r="C22" i="4"/>
  <c r="L21" i="4"/>
  <c r="I21" i="4"/>
  <c r="F21" i="4"/>
  <c r="C21" i="4"/>
  <c r="L20" i="4"/>
  <c r="I20" i="4"/>
  <c r="F20" i="4"/>
  <c r="C20" i="4"/>
  <c r="L19" i="4"/>
  <c r="I19" i="4"/>
  <c r="F19" i="4"/>
  <c r="C19" i="4"/>
  <c r="L18" i="4"/>
  <c r="I18" i="4"/>
  <c r="F18" i="4"/>
  <c r="C18" i="4"/>
  <c r="L17" i="4"/>
  <c r="I17" i="4"/>
  <c r="F17" i="4"/>
  <c r="C17" i="4"/>
  <c r="L16" i="4"/>
  <c r="I16" i="4"/>
  <c r="F16" i="4"/>
  <c r="C16" i="4"/>
  <c r="L15" i="4"/>
  <c r="I15" i="4"/>
  <c r="F15" i="4"/>
  <c r="C15" i="4"/>
  <c r="L14" i="4"/>
  <c r="I14" i="4"/>
  <c r="F14" i="4"/>
  <c r="C14" i="4"/>
  <c r="L13" i="4"/>
  <c r="I13" i="4"/>
  <c r="F13" i="4"/>
  <c r="C13" i="4"/>
  <c r="L12" i="4"/>
  <c r="I12" i="4"/>
  <c r="F12" i="4"/>
  <c r="C12" i="4"/>
  <c r="L11" i="4"/>
  <c r="I11" i="4"/>
  <c r="F11" i="4"/>
  <c r="C11" i="4"/>
  <c r="L10" i="4"/>
  <c r="I10" i="4"/>
  <c r="F10" i="4"/>
  <c r="C10" i="4"/>
  <c r="L9" i="4"/>
  <c r="I9" i="4"/>
  <c r="F9" i="4"/>
  <c r="C9" i="4"/>
  <c r="L8" i="4"/>
  <c r="I8" i="4"/>
  <c r="F8" i="4"/>
  <c r="C8" i="4"/>
  <c r="L7" i="4"/>
  <c r="I7" i="4"/>
  <c r="F7" i="4"/>
  <c r="C7" i="4"/>
  <c r="L6" i="4"/>
  <c r="I6" i="4"/>
  <c r="F6" i="4"/>
  <c r="C6" i="4"/>
  <c r="L5" i="4"/>
  <c r="I5" i="4"/>
  <c r="F5" i="4"/>
  <c r="C5" i="4"/>
  <c r="L4" i="4"/>
  <c r="I4" i="4"/>
  <c r="F4" i="4"/>
  <c r="C4" i="4"/>
  <c r="L3" i="4"/>
  <c r="I3" i="4"/>
  <c r="F3" i="4"/>
  <c r="C3" i="4"/>
  <c r="O2" i="4"/>
  <c r="D3" i="1"/>
  <c r="D4" i="1"/>
  <c r="E14" i="3"/>
  <c r="J11" i="3"/>
  <c r="J10" i="3"/>
  <c r="J9" i="3"/>
  <c r="J14" i="3"/>
  <c r="E13" i="3"/>
  <c r="J13" i="3"/>
  <c r="E9" i="3"/>
  <c r="U7" i="3"/>
  <c r="E10" i="3"/>
  <c r="E11" i="3"/>
</calcChain>
</file>

<file path=xl/sharedStrings.xml><?xml version="1.0" encoding="utf-8"?>
<sst xmlns="http://schemas.openxmlformats.org/spreadsheetml/2006/main" count="136" uniqueCount="71">
  <si>
    <t>Créditos</t>
  </si>
  <si>
    <t>A</t>
  </si>
  <si>
    <t>B</t>
  </si>
  <si>
    <t>C</t>
  </si>
  <si>
    <t>Exposição</t>
  </si>
  <si>
    <t>Prob Default</t>
  </si>
  <si>
    <t>Prob. Não Default</t>
  </si>
  <si>
    <t>Taxa Recuperação</t>
  </si>
  <si>
    <t>Risco Operacional</t>
  </si>
  <si>
    <t>Núm. Eventos</t>
  </si>
  <si>
    <t>Probabilidades</t>
  </si>
  <si>
    <t>Magnitude</t>
  </si>
  <si>
    <t>Período</t>
  </si>
  <si>
    <t>PETR4</t>
  </si>
  <si>
    <t>IBOVESPA</t>
  </si>
  <si>
    <t>Café Arábica</t>
  </si>
  <si>
    <t>Data</t>
  </si>
  <si>
    <t>ibov</t>
  </si>
  <si>
    <t>Dólar</t>
  </si>
  <si>
    <t>petr4</t>
  </si>
  <si>
    <t>vale3</t>
  </si>
  <si>
    <t>Ativo A</t>
  </si>
  <si>
    <t>Ativo B</t>
  </si>
  <si>
    <t>Ano 1</t>
  </si>
  <si>
    <t>Correlação</t>
  </si>
  <si>
    <t>Ano 2</t>
  </si>
  <si>
    <t>Ano 3</t>
  </si>
  <si>
    <t>Ano 4</t>
  </si>
  <si>
    <t>Ano 5</t>
  </si>
  <si>
    <t>Fluxo de Caixa Original</t>
  </si>
  <si>
    <t>Ano 0</t>
  </si>
  <si>
    <t>Retornos DISCRETOS</t>
  </si>
  <si>
    <t>Média</t>
  </si>
  <si>
    <t>Desvio Padrão</t>
  </si>
  <si>
    <t>Retornos CONTÍNUOS</t>
  </si>
  <si>
    <t>Retorno Médio</t>
  </si>
  <si>
    <t>RISCO</t>
  </si>
  <si>
    <t>VOLATILIDADE</t>
  </si>
  <si>
    <t>ATIVO</t>
  </si>
  <si>
    <t>Ret. Discreto</t>
  </si>
  <si>
    <t>Ret. Contínuo</t>
  </si>
  <si>
    <t>Volatilidade Anualizada (%)</t>
  </si>
  <si>
    <t>Risco</t>
  </si>
  <si>
    <t>Carteira</t>
  </si>
  <si>
    <t>Peso A</t>
  </si>
  <si>
    <t>Peso B</t>
  </si>
  <si>
    <t>Ret. Carteira</t>
  </si>
  <si>
    <t>Risco Carteira</t>
  </si>
  <si>
    <t>DIVERSIFICAÇÃO</t>
  </si>
  <si>
    <t>VALE3</t>
  </si>
  <si>
    <t>MGLU3</t>
  </si>
  <si>
    <t>BBDC4</t>
  </si>
  <si>
    <t>Exposição Dado Default</t>
  </si>
  <si>
    <t>Perda de Crédito</t>
  </si>
  <si>
    <t>TOTAL</t>
  </si>
  <si>
    <t>PERDA ESPERADA</t>
  </si>
  <si>
    <t>Qual a perda Não ESPERADA?</t>
  </si>
  <si>
    <t>DISTRIBUIÇÃO DE PERDAS</t>
  </si>
  <si>
    <t>Núm. Perdas</t>
  </si>
  <si>
    <t>Perda A</t>
  </si>
  <si>
    <t>Perda B</t>
  </si>
  <si>
    <t>Perda C</t>
  </si>
  <si>
    <t>Perda Total</t>
  </si>
  <si>
    <t>PROBABILIDADE DE PERDAS</t>
  </si>
  <si>
    <t>PROB Perda Total</t>
  </si>
  <si>
    <t>PERDA X PROB</t>
  </si>
  <si>
    <t>Prob. Acumulada</t>
  </si>
  <si>
    <t>Probabilidade</t>
  </si>
  <si>
    <t>Pior Perda Esperada</t>
  </si>
  <si>
    <t>Perda Esperada</t>
  </si>
  <si>
    <t>Perda Não Esperada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</si>
</sst>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00%"/>
    <numFmt numFmtId="166" formatCode="0.0000%"/>
    <numFmt numFmtId="167" formatCode="0.0000"/>
    <numFmt numFmtId="168" formatCode="_-* #,##0.00000000_-;\-* #,##0.000000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10"/>
      <color theme="1"/>
      <name val="Arial"/>
      <family val="2"/>
    </font>
    <font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4" fontId="0" fillId="0" borderId="0" xfId="0" applyNumberFormat="1"/>
    <xf numFmtId="0" fontId="0" fillId="2" borderId="0" xfId="0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2" fillId="0" borderId="0" xfId="0" applyFont="1"/>
    <xf numFmtId="43" fontId="0" fillId="0" borderId="0" xfId="3" applyFont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2" borderId="0" xfId="0" applyFill="1"/>
    <xf numFmtId="43" fontId="0" fillId="2" borderId="0" xfId="3" applyFont="1" applyFill="1"/>
    <xf numFmtId="9" fontId="0" fillId="2" borderId="0" xfId="0" applyNumberFormat="1" applyFill="1" applyAlignment="1">
      <alignment horizontal="center"/>
    </xf>
    <xf numFmtId="17" fontId="0" fillId="0" borderId="0" xfId="0" applyNumberFormat="1"/>
    <xf numFmtId="164" fontId="0" fillId="0" borderId="0" xfId="3" applyNumberFormat="1" applyFont="1"/>
    <xf numFmtId="0" fontId="3" fillId="0" borderId="0" xfId="4"/>
    <xf numFmtId="17" fontId="3" fillId="0" borderId="0" xfId="4" applyNumberFormat="1"/>
    <xf numFmtId="0" fontId="4" fillId="0" borderId="0" xfId="0" applyFont="1" applyAlignment="1">
      <alignment horizontal="center"/>
    </xf>
    <xf numFmtId="43" fontId="2" fillId="0" borderId="0" xfId="3" applyFont="1"/>
    <xf numFmtId="43" fontId="2" fillId="0" borderId="0" xfId="0" applyNumberFormat="1" applyFont="1"/>
    <xf numFmtId="10" fontId="0" fillId="0" borderId="0" xfId="2" applyNumberFormat="1" applyFont="1"/>
    <xf numFmtId="0" fontId="5" fillId="0" borderId="0" xfId="0" applyFont="1"/>
    <xf numFmtId="0" fontId="0" fillId="4" borderId="0" xfId="0" applyFill="1"/>
    <xf numFmtId="0" fontId="2" fillId="5" borderId="0" xfId="0" applyFont="1" applyFill="1"/>
    <xf numFmtId="166" fontId="0" fillId="0" borderId="0" xfId="2" applyNumberFormat="1" applyFont="1"/>
    <xf numFmtId="0" fontId="6" fillId="0" borderId="0" xfId="0" applyFont="1"/>
    <xf numFmtId="0" fontId="7" fillId="0" borderId="0" xfId="0" applyFont="1"/>
    <xf numFmtId="165" fontId="6" fillId="0" borderId="0" xfId="2" applyNumberFormat="1" applyFont="1"/>
    <xf numFmtId="167" fontId="0" fillId="0" borderId="0" xfId="0" applyNumberFormat="1"/>
    <xf numFmtId="0" fontId="8" fillId="0" borderId="0" xfId="0" applyFont="1"/>
    <xf numFmtId="165" fontId="0" fillId="0" borderId="0" xfId="2" applyNumberFormat="1" applyFont="1" applyAlignment="1">
      <alignment horizontal="center"/>
    </xf>
    <xf numFmtId="0" fontId="0" fillId="0" borderId="1" xfId="0" applyBorder="1"/>
    <xf numFmtId="0" fontId="9" fillId="0" borderId="2" xfId="0" applyFont="1" applyBorder="1" applyAlignment="1">
      <alignment horizontal="center"/>
    </xf>
    <xf numFmtId="168" fontId="0" fillId="0" borderId="0" xfId="3" applyNumberFormat="1" applyFont="1" applyFill="1" applyBorder="1" applyAlignment="1"/>
    <xf numFmtId="168" fontId="0" fillId="0" borderId="1" xfId="3" applyNumberFormat="1" applyFont="1" applyFill="1" applyBorder="1" applyAlignment="1"/>
    <xf numFmtId="44" fontId="2" fillId="5" borderId="0" xfId="0" applyNumberFormat="1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44" fontId="0" fillId="8" borderId="0" xfId="1" applyFont="1" applyFill="1"/>
    <xf numFmtId="10" fontId="0" fillId="8" borderId="0" xfId="2" applyNumberFormat="1" applyFont="1" applyFill="1" applyAlignment="1">
      <alignment horizontal="center"/>
    </xf>
    <xf numFmtId="10" fontId="0" fillId="8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5">
    <cellStyle name="Moeda" xfId="1" builtinId="4"/>
    <cellStyle name="Normal" xfId="0" builtinId="0"/>
    <cellStyle name="Normal 2" xfId="4" xr:uid="{A798CBE1-19AB-0341-B931-CA378DB94082}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Ibovespa</a:t>
            </a:r>
            <a:r>
              <a:rPr lang="en-US" baseline="0"/>
              <a:t> X Dólar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Ibovespa</c:v>
          </c:tx>
          <c:marker>
            <c:symbol val="none"/>
          </c:marker>
          <c:xVal>
            <c:numRef>
              <c:f>Correlação!$A$2:$A$118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Correlação!$B$2:$B$118</c:f>
              <c:numCache>
                <c:formatCode>General</c:formatCode>
                <c:ptCount val="117"/>
                <c:pt idx="0">
                  <c:v>65401</c:v>
                </c:pt>
                <c:pt idx="1">
                  <c:v>66503</c:v>
                </c:pt>
                <c:pt idx="2">
                  <c:v>70371</c:v>
                </c:pt>
                <c:pt idx="3">
                  <c:v>67529</c:v>
                </c:pt>
                <c:pt idx="4">
                  <c:v>63046</c:v>
                </c:pt>
                <c:pt idx="5">
                  <c:v>60935</c:v>
                </c:pt>
                <c:pt idx="6">
                  <c:v>67515</c:v>
                </c:pt>
                <c:pt idx="7">
                  <c:v>65145</c:v>
                </c:pt>
                <c:pt idx="8">
                  <c:v>69429</c:v>
                </c:pt>
                <c:pt idx="9">
                  <c:v>70673</c:v>
                </c:pt>
                <c:pt idx="10">
                  <c:v>67705</c:v>
                </c:pt>
                <c:pt idx="11">
                  <c:v>69304</c:v>
                </c:pt>
                <c:pt idx="12">
                  <c:v>66574</c:v>
                </c:pt>
                <c:pt idx="13">
                  <c:v>67383</c:v>
                </c:pt>
                <c:pt idx="14">
                  <c:v>68586</c:v>
                </c:pt>
                <c:pt idx="15">
                  <c:v>66132</c:v>
                </c:pt>
                <c:pt idx="16">
                  <c:v>64620</c:v>
                </c:pt>
                <c:pt idx="17">
                  <c:v>62403</c:v>
                </c:pt>
                <c:pt idx="18">
                  <c:v>58823</c:v>
                </c:pt>
                <c:pt idx="19">
                  <c:v>56495</c:v>
                </c:pt>
                <c:pt idx="20">
                  <c:v>52324</c:v>
                </c:pt>
                <c:pt idx="21">
                  <c:v>58338</c:v>
                </c:pt>
                <c:pt idx="22">
                  <c:v>56874</c:v>
                </c:pt>
                <c:pt idx="23">
                  <c:v>56754</c:v>
                </c:pt>
                <c:pt idx="24">
                  <c:v>63072</c:v>
                </c:pt>
                <c:pt idx="25">
                  <c:v>65811</c:v>
                </c:pt>
                <c:pt idx="26">
                  <c:v>64510</c:v>
                </c:pt>
                <c:pt idx="27">
                  <c:v>61820</c:v>
                </c:pt>
                <c:pt idx="28">
                  <c:v>54490</c:v>
                </c:pt>
                <c:pt idx="29">
                  <c:v>54354</c:v>
                </c:pt>
                <c:pt idx="30">
                  <c:v>56097</c:v>
                </c:pt>
                <c:pt idx="31">
                  <c:v>57061</c:v>
                </c:pt>
                <c:pt idx="32">
                  <c:v>59175</c:v>
                </c:pt>
                <c:pt idx="33">
                  <c:v>57068</c:v>
                </c:pt>
                <c:pt idx="34">
                  <c:v>57474</c:v>
                </c:pt>
                <c:pt idx="35">
                  <c:v>60952</c:v>
                </c:pt>
                <c:pt idx="36">
                  <c:v>59761</c:v>
                </c:pt>
                <c:pt idx="37">
                  <c:v>57424</c:v>
                </c:pt>
                <c:pt idx="38">
                  <c:v>56352</c:v>
                </c:pt>
                <c:pt idx="39">
                  <c:v>55910</c:v>
                </c:pt>
                <c:pt idx="40">
                  <c:v>53506</c:v>
                </c:pt>
                <c:pt idx="41">
                  <c:v>47457</c:v>
                </c:pt>
                <c:pt idx="42">
                  <c:v>48234</c:v>
                </c:pt>
                <c:pt idx="43">
                  <c:v>50011</c:v>
                </c:pt>
                <c:pt idx="44">
                  <c:v>52338</c:v>
                </c:pt>
                <c:pt idx="45">
                  <c:v>54256</c:v>
                </c:pt>
                <c:pt idx="46">
                  <c:v>52482</c:v>
                </c:pt>
                <c:pt idx="47">
                  <c:v>51507</c:v>
                </c:pt>
                <c:pt idx="48">
                  <c:v>47638</c:v>
                </c:pt>
                <c:pt idx="49">
                  <c:v>47094</c:v>
                </c:pt>
                <c:pt idx="50">
                  <c:v>50414</c:v>
                </c:pt>
                <c:pt idx="51">
                  <c:v>51626</c:v>
                </c:pt>
                <c:pt idx="52">
                  <c:v>51239</c:v>
                </c:pt>
                <c:pt idx="53">
                  <c:v>53168</c:v>
                </c:pt>
                <c:pt idx="54">
                  <c:v>55829</c:v>
                </c:pt>
                <c:pt idx="55">
                  <c:v>61288</c:v>
                </c:pt>
                <c:pt idx="56">
                  <c:v>54115</c:v>
                </c:pt>
                <c:pt idx="57">
                  <c:v>54628</c:v>
                </c:pt>
                <c:pt idx="58">
                  <c:v>54724</c:v>
                </c:pt>
                <c:pt idx="59">
                  <c:v>50007</c:v>
                </c:pt>
                <c:pt idx="60">
                  <c:v>46907</c:v>
                </c:pt>
                <c:pt idx="61">
                  <c:v>51583</c:v>
                </c:pt>
                <c:pt idx="62">
                  <c:v>51150</c:v>
                </c:pt>
                <c:pt idx="63">
                  <c:v>56229</c:v>
                </c:pt>
                <c:pt idx="64">
                  <c:v>52760</c:v>
                </c:pt>
                <c:pt idx="65">
                  <c:v>53080</c:v>
                </c:pt>
                <c:pt idx="66">
                  <c:v>50864</c:v>
                </c:pt>
                <c:pt idx="67">
                  <c:v>46625</c:v>
                </c:pt>
                <c:pt idx="68">
                  <c:v>45059</c:v>
                </c:pt>
                <c:pt idx="69">
                  <c:v>45868</c:v>
                </c:pt>
                <c:pt idx="70">
                  <c:v>45120</c:v>
                </c:pt>
                <c:pt idx="71">
                  <c:v>43349</c:v>
                </c:pt>
                <c:pt idx="72">
                  <c:v>40405</c:v>
                </c:pt>
                <c:pt idx="73">
                  <c:v>42793</c:v>
                </c:pt>
                <c:pt idx="74">
                  <c:v>50055</c:v>
                </c:pt>
                <c:pt idx="75">
                  <c:v>53910</c:v>
                </c:pt>
                <c:pt idx="76">
                  <c:v>48471</c:v>
                </c:pt>
                <c:pt idx="77">
                  <c:v>51526</c:v>
                </c:pt>
                <c:pt idx="78">
                  <c:v>57308</c:v>
                </c:pt>
                <c:pt idx="79">
                  <c:v>57901</c:v>
                </c:pt>
                <c:pt idx="80">
                  <c:v>58367</c:v>
                </c:pt>
                <c:pt idx="81">
                  <c:v>64924</c:v>
                </c:pt>
                <c:pt idx="82">
                  <c:v>61906</c:v>
                </c:pt>
                <c:pt idx="83">
                  <c:v>60227</c:v>
                </c:pt>
                <c:pt idx="84">
                  <c:v>64670</c:v>
                </c:pt>
                <c:pt idx="85">
                  <c:v>66662</c:v>
                </c:pt>
                <c:pt idx="86">
                  <c:v>64984</c:v>
                </c:pt>
                <c:pt idx="87">
                  <c:v>65403</c:v>
                </c:pt>
                <c:pt idx="88">
                  <c:v>62711</c:v>
                </c:pt>
                <c:pt idx="89">
                  <c:v>62899</c:v>
                </c:pt>
                <c:pt idx="90">
                  <c:v>65920</c:v>
                </c:pt>
                <c:pt idx="91">
                  <c:v>70835.05</c:v>
                </c:pt>
                <c:pt idx="92">
                  <c:v>74293.509999999995</c:v>
                </c:pt>
                <c:pt idx="93">
                  <c:v>74308.490000000005</c:v>
                </c:pt>
                <c:pt idx="94">
                  <c:v>71970.990000000005</c:v>
                </c:pt>
                <c:pt idx="95">
                  <c:v>76402.080000000002</c:v>
                </c:pt>
                <c:pt idx="96">
                  <c:v>84912.7</c:v>
                </c:pt>
                <c:pt idx="97">
                  <c:v>85353.600000000006</c:v>
                </c:pt>
                <c:pt idx="98">
                  <c:v>85365.56</c:v>
                </c:pt>
                <c:pt idx="99">
                  <c:v>86115.5</c:v>
                </c:pt>
                <c:pt idx="100">
                  <c:v>76753.61</c:v>
                </c:pt>
                <c:pt idx="101">
                  <c:v>72762.52</c:v>
                </c:pt>
                <c:pt idx="102">
                  <c:v>79220.44</c:v>
                </c:pt>
                <c:pt idx="103">
                  <c:v>76677.53</c:v>
                </c:pt>
                <c:pt idx="104">
                  <c:v>79342.429999999993</c:v>
                </c:pt>
                <c:pt idx="105">
                  <c:v>87423.55</c:v>
                </c:pt>
                <c:pt idx="106">
                  <c:v>89504.03</c:v>
                </c:pt>
                <c:pt idx="107">
                  <c:v>87887.27</c:v>
                </c:pt>
                <c:pt idx="108">
                  <c:v>97393.75</c:v>
                </c:pt>
                <c:pt idx="109">
                  <c:v>95584.35</c:v>
                </c:pt>
                <c:pt idx="110">
                  <c:v>95414.56</c:v>
                </c:pt>
                <c:pt idx="111">
                  <c:v>96353.33</c:v>
                </c:pt>
                <c:pt idx="112">
                  <c:v>97030.32</c:v>
                </c:pt>
                <c:pt idx="113">
                  <c:v>100967.2</c:v>
                </c:pt>
                <c:pt idx="114">
                  <c:v>101812.13</c:v>
                </c:pt>
                <c:pt idx="115">
                  <c:v>101134.61</c:v>
                </c:pt>
                <c:pt idx="116">
                  <c:v>104531.93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6-854B-9B12-222977DC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8778456"/>
        <c:axId val="-2025599528"/>
      </c:scatterChart>
      <c:scatterChart>
        <c:scatterStyle val="lineMarker"/>
        <c:varyColors val="0"/>
        <c:ser>
          <c:idx val="1"/>
          <c:order val="1"/>
          <c:tx>
            <c:v>Dólar</c:v>
          </c:tx>
          <c:marker>
            <c:symbol val="none"/>
          </c:marker>
          <c:xVal>
            <c:numRef>
              <c:f>Correlação!$D$2:$D$118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Correlação!$E$2:$E$118</c:f>
              <c:numCache>
                <c:formatCode>General</c:formatCode>
                <c:ptCount val="117"/>
                <c:pt idx="0">
                  <c:v>1.8748</c:v>
                </c:pt>
                <c:pt idx="1">
                  <c:v>1.8109999999999999</c:v>
                </c:pt>
                <c:pt idx="2">
                  <c:v>1.7809999999999999</c:v>
                </c:pt>
                <c:pt idx="3">
                  <c:v>1.7305999999999999</c:v>
                </c:pt>
                <c:pt idx="4">
                  <c:v>1.8167</c:v>
                </c:pt>
                <c:pt idx="5">
                  <c:v>1.8015000000000001</c:v>
                </c:pt>
                <c:pt idx="6">
                  <c:v>1.7572000000000001</c:v>
                </c:pt>
                <c:pt idx="7">
                  <c:v>1.756</c:v>
                </c:pt>
                <c:pt idx="8">
                  <c:v>1.6941999999999999</c:v>
                </c:pt>
                <c:pt idx="9">
                  <c:v>1.7014</c:v>
                </c:pt>
                <c:pt idx="10">
                  <c:v>1.7161</c:v>
                </c:pt>
                <c:pt idx="11">
                  <c:v>1.6661999999999999</c:v>
                </c:pt>
                <c:pt idx="12">
                  <c:v>1.6734</c:v>
                </c:pt>
                <c:pt idx="13">
                  <c:v>1.6612</c:v>
                </c:pt>
                <c:pt idx="14">
                  <c:v>1.6287</c:v>
                </c:pt>
                <c:pt idx="15">
                  <c:v>1.5732999999999999</c:v>
                </c:pt>
                <c:pt idx="16">
                  <c:v>1.5799000000000001</c:v>
                </c:pt>
                <c:pt idx="17">
                  <c:v>1.5610999999999999</c:v>
                </c:pt>
                <c:pt idx="18">
                  <c:v>1.5563</c:v>
                </c:pt>
                <c:pt idx="19">
                  <c:v>1.5871999999999999</c:v>
                </c:pt>
                <c:pt idx="20">
                  <c:v>1.8544</c:v>
                </c:pt>
                <c:pt idx="21">
                  <c:v>1.6884999999999999</c:v>
                </c:pt>
                <c:pt idx="22">
                  <c:v>1.8109</c:v>
                </c:pt>
                <c:pt idx="23">
                  <c:v>1.8757999999999999</c:v>
                </c:pt>
                <c:pt idx="24">
                  <c:v>1.7391000000000001</c:v>
                </c:pt>
                <c:pt idx="25">
                  <c:v>1.7092000000000001</c:v>
                </c:pt>
                <c:pt idx="26">
                  <c:v>1.8221000000000001</c:v>
                </c:pt>
                <c:pt idx="27">
                  <c:v>1.8917999999999999</c:v>
                </c:pt>
                <c:pt idx="28">
                  <c:v>2.0223</c:v>
                </c:pt>
                <c:pt idx="29">
                  <c:v>2.0213000000000001</c:v>
                </c:pt>
                <c:pt idx="30">
                  <c:v>2.0499000000000001</c:v>
                </c:pt>
                <c:pt idx="31">
                  <c:v>2.0371999999999999</c:v>
                </c:pt>
                <c:pt idx="32">
                  <c:v>2.0306000000000002</c:v>
                </c:pt>
                <c:pt idx="33">
                  <c:v>2.0312999999999999</c:v>
                </c:pt>
                <c:pt idx="34">
                  <c:v>2.1074000000000002</c:v>
                </c:pt>
                <c:pt idx="35">
                  <c:v>2.0434999999999999</c:v>
                </c:pt>
                <c:pt idx="36">
                  <c:v>1.9883</c:v>
                </c:pt>
                <c:pt idx="37">
                  <c:v>1.9754</c:v>
                </c:pt>
                <c:pt idx="38">
                  <c:v>2.0137999999999998</c:v>
                </c:pt>
                <c:pt idx="39">
                  <c:v>2.0017</c:v>
                </c:pt>
                <c:pt idx="40">
                  <c:v>2.1318999999999999</c:v>
                </c:pt>
                <c:pt idx="41">
                  <c:v>2.2155999999999998</c:v>
                </c:pt>
                <c:pt idx="42">
                  <c:v>2.2902999999999998</c:v>
                </c:pt>
                <c:pt idx="43">
                  <c:v>2.3725000000000001</c:v>
                </c:pt>
                <c:pt idx="44">
                  <c:v>2.23</c:v>
                </c:pt>
                <c:pt idx="45">
                  <c:v>2.2025999999999999</c:v>
                </c:pt>
                <c:pt idx="46">
                  <c:v>2.3249</c:v>
                </c:pt>
                <c:pt idx="47">
                  <c:v>2.3426</c:v>
                </c:pt>
                <c:pt idx="48">
                  <c:v>2.4262999999999999</c:v>
                </c:pt>
                <c:pt idx="49">
                  <c:v>2.3334000000000001</c:v>
                </c:pt>
                <c:pt idx="50">
                  <c:v>2.2629999999999999</c:v>
                </c:pt>
                <c:pt idx="51">
                  <c:v>2.2360000000000002</c:v>
                </c:pt>
                <c:pt idx="52">
                  <c:v>2.2389999999999999</c:v>
                </c:pt>
                <c:pt idx="53">
                  <c:v>2.2025000000000001</c:v>
                </c:pt>
                <c:pt idx="54">
                  <c:v>2.2673999999999999</c:v>
                </c:pt>
                <c:pt idx="55">
                  <c:v>2.2395999999999998</c:v>
                </c:pt>
                <c:pt idx="56">
                  <c:v>2.4510000000000001</c:v>
                </c:pt>
                <c:pt idx="57">
                  <c:v>2.4441999999999999</c:v>
                </c:pt>
                <c:pt idx="58">
                  <c:v>2.5600999999999998</c:v>
                </c:pt>
                <c:pt idx="59">
                  <c:v>2.6562000000000001</c:v>
                </c:pt>
                <c:pt idx="60">
                  <c:v>2.6623000000000001</c:v>
                </c:pt>
                <c:pt idx="61">
                  <c:v>2.8782000000000001</c:v>
                </c:pt>
                <c:pt idx="62">
                  <c:v>3.2080000000000002</c:v>
                </c:pt>
                <c:pt idx="63">
                  <c:v>2.9935999999999998</c:v>
                </c:pt>
                <c:pt idx="64">
                  <c:v>3.1787999999999998</c:v>
                </c:pt>
                <c:pt idx="65">
                  <c:v>3.1025999999999998</c:v>
                </c:pt>
                <c:pt idx="66">
                  <c:v>3.3940000000000001</c:v>
                </c:pt>
                <c:pt idx="67">
                  <c:v>3.6467000000000001</c:v>
                </c:pt>
                <c:pt idx="68">
                  <c:v>3.9729000000000001</c:v>
                </c:pt>
                <c:pt idx="69">
                  <c:v>3.8589000000000002</c:v>
                </c:pt>
                <c:pt idx="70">
                  <c:v>3.8506</c:v>
                </c:pt>
                <c:pt idx="71">
                  <c:v>3.9047999999999998</c:v>
                </c:pt>
                <c:pt idx="72">
                  <c:v>4.0427999999999997</c:v>
                </c:pt>
                <c:pt idx="73">
                  <c:v>3.9796</c:v>
                </c:pt>
                <c:pt idx="74">
                  <c:v>3.5589</c:v>
                </c:pt>
                <c:pt idx="75">
                  <c:v>3.4508000000000001</c:v>
                </c:pt>
                <c:pt idx="76">
                  <c:v>3.5951</c:v>
                </c:pt>
                <c:pt idx="77">
                  <c:v>3.2098</c:v>
                </c:pt>
                <c:pt idx="78">
                  <c:v>3.2389999999999999</c:v>
                </c:pt>
                <c:pt idx="79">
                  <c:v>3.2403</c:v>
                </c:pt>
                <c:pt idx="80">
                  <c:v>3.2462</c:v>
                </c:pt>
                <c:pt idx="81">
                  <c:v>3.1810999999999998</c:v>
                </c:pt>
                <c:pt idx="82">
                  <c:v>3.3967000000000001</c:v>
                </c:pt>
                <c:pt idx="83">
                  <c:v>3.2591000000000001</c:v>
                </c:pt>
                <c:pt idx="84">
                  <c:v>3.1269999999999998</c:v>
                </c:pt>
                <c:pt idx="85">
                  <c:v>3.0992999999999999</c:v>
                </c:pt>
                <c:pt idx="86">
                  <c:v>3.1684000000000001</c:v>
                </c:pt>
                <c:pt idx="87">
                  <c:v>3.1983999999999999</c:v>
                </c:pt>
                <c:pt idx="88">
                  <c:v>3.2437</c:v>
                </c:pt>
                <c:pt idx="89">
                  <c:v>3.3081999999999998</c:v>
                </c:pt>
                <c:pt idx="90">
                  <c:v>3.1307</c:v>
                </c:pt>
                <c:pt idx="91">
                  <c:v>3.1471</c:v>
                </c:pt>
                <c:pt idx="92">
                  <c:v>3.1680000000000001</c:v>
                </c:pt>
                <c:pt idx="93">
                  <c:v>3.2768999999999999</c:v>
                </c:pt>
                <c:pt idx="94">
                  <c:v>3.2616000000000001</c:v>
                </c:pt>
                <c:pt idx="95">
                  <c:v>3.3079999999999998</c:v>
                </c:pt>
                <c:pt idx="96">
                  <c:v>3.1623999999999999</c:v>
                </c:pt>
                <c:pt idx="97">
                  <c:v>3.2448999999999999</c:v>
                </c:pt>
                <c:pt idx="98">
                  <c:v>3.3237999999999999</c:v>
                </c:pt>
                <c:pt idx="99">
                  <c:v>3.4811000000000001</c:v>
                </c:pt>
                <c:pt idx="100">
                  <c:v>3.7370000000000001</c:v>
                </c:pt>
                <c:pt idx="101">
                  <c:v>3.8557999999999999</c:v>
                </c:pt>
                <c:pt idx="102">
                  <c:v>3.7549000000000001</c:v>
                </c:pt>
                <c:pt idx="103">
                  <c:v>4.1353</c:v>
                </c:pt>
                <c:pt idx="104">
                  <c:v>4.0038999999999998</c:v>
                </c:pt>
                <c:pt idx="105">
                  <c:v>3.7176999999999998</c:v>
                </c:pt>
                <c:pt idx="106">
                  <c:v>3.8633000000000002</c:v>
                </c:pt>
                <c:pt idx="107">
                  <c:v>3.8748</c:v>
                </c:pt>
                <c:pt idx="108">
                  <c:v>3.6518999999999999</c:v>
                </c:pt>
                <c:pt idx="109">
                  <c:v>3.7385000000000002</c:v>
                </c:pt>
                <c:pt idx="110">
                  <c:v>3.8967000000000001</c:v>
                </c:pt>
                <c:pt idx="111">
                  <c:v>3.9453</c:v>
                </c:pt>
                <c:pt idx="112">
                  <c:v>3.9407000000000001</c:v>
                </c:pt>
                <c:pt idx="113">
                  <c:v>3.8321999999999998</c:v>
                </c:pt>
                <c:pt idx="114">
                  <c:v>3.7648999999999999</c:v>
                </c:pt>
                <c:pt idx="115">
                  <c:v>4.1384999999999996</c:v>
                </c:pt>
                <c:pt idx="116">
                  <c:v>4.0972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06-854B-9B12-222977DC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5593128"/>
        <c:axId val="-2025596488"/>
      </c:scatterChart>
      <c:valAx>
        <c:axId val="-20287784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-2025599528"/>
        <c:crosses val="autoZero"/>
        <c:crossBetween val="midCat"/>
      </c:valAx>
      <c:valAx>
        <c:axId val="-2025599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028778456"/>
        <c:crosses val="autoZero"/>
        <c:crossBetween val="midCat"/>
      </c:valAx>
      <c:valAx>
        <c:axId val="-2025596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025593128"/>
        <c:crosses val="max"/>
        <c:crossBetween val="midCat"/>
      </c:valAx>
      <c:valAx>
        <c:axId val="-2025593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2025596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PETR4 X</a:t>
            </a:r>
            <a:r>
              <a:rPr lang="en-US" baseline="0"/>
              <a:t> VALE3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VALE3</c:v>
          </c:tx>
          <c:marker>
            <c:symbol val="none"/>
          </c:marker>
          <c:xVal>
            <c:numRef>
              <c:f>Correlação!$J$2:$J$118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Correlação!$K$2:$K$118</c:f>
              <c:numCache>
                <c:formatCode>General</c:formatCode>
                <c:ptCount val="117"/>
                <c:pt idx="0">
                  <c:v>32.93316136</c:v>
                </c:pt>
                <c:pt idx="1">
                  <c:v>33.970108171</c:v>
                </c:pt>
                <c:pt idx="2">
                  <c:v>38.481500138000001</c:v>
                </c:pt>
                <c:pt idx="3">
                  <c:v>36.008152516000003</c:v>
                </c:pt>
                <c:pt idx="4">
                  <c:v>33.905981652999998</c:v>
                </c:pt>
                <c:pt idx="5">
                  <c:v>29.599921983000002</c:v>
                </c:pt>
                <c:pt idx="6">
                  <c:v>32.922708184999998</c:v>
                </c:pt>
                <c:pt idx="7">
                  <c:v>31.790248397999999</c:v>
                </c:pt>
                <c:pt idx="8">
                  <c:v>35.465656809000002</c:v>
                </c:pt>
                <c:pt idx="9">
                  <c:v>36.726540513000003</c:v>
                </c:pt>
                <c:pt idx="10">
                  <c:v>36.699132646999999</c:v>
                </c:pt>
                <c:pt idx="11">
                  <c:v>37.911930720000001</c:v>
                </c:pt>
                <c:pt idx="12">
                  <c:v>39.320907771999998</c:v>
                </c:pt>
                <c:pt idx="13">
                  <c:v>38.783586327000002</c:v>
                </c:pt>
                <c:pt idx="14">
                  <c:v>36.751409068000001</c:v>
                </c:pt>
                <c:pt idx="15">
                  <c:v>36.105271641000002</c:v>
                </c:pt>
                <c:pt idx="16">
                  <c:v>35.031664413000001</c:v>
                </c:pt>
                <c:pt idx="17">
                  <c:v>34.501832274999998</c:v>
                </c:pt>
                <c:pt idx="18">
                  <c:v>34.982864085000003</c:v>
                </c:pt>
                <c:pt idx="19">
                  <c:v>31.913869465000001</c:v>
                </c:pt>
                <c:pt idx="20">
                  <c:v>30.382288676000002</c:v>
                </c:pt>
                <c:pt idx="21">
                  <c:v>31.878717930000001</c:v>
                </c:pt>
                <c:pt idx="22">
                  <c:v>30.376312098</c:v>
                </c:pt>
                <c:pt idx="23">
                  <c:v>28.771801014000001</c:v>
                </c:pt>
                <c:pt idx="24">
                  <c:v>32.600747917</c:v>
                </c:pt>
                <c:pt idx="25">
                  <c:v>31.762026214999999</c:v>
                </c:pt>
                <c:pt idx="26">
                  <c:v>31.287966122</c:v>
                </c:pt>
                <c:pt idx="27">
                  <c:v>31.851103968</c:v>
                </c:pt>
                <c:pt idx="28">
                  <c:v>28.105234699</c:v>
                </c:pt>
                <c:pt idx="29">
                  <c:v>30.004338081</c:v>
                </c:pt>
                <c:pt idx="30">
                  <c:v>27.776256159999999</c:v>
                </c:pt>
                <c:pt idx="31">
                  <c:v>25.256579626000001</c:v>
                </c:pt>
                <c:pt idx="32">
                  <c:v>27.282788352000001</c:v>
                </c:pt>
                <c:pt idx="33">
                  <c:v>28.900348210000001</c:v>
                </c:pt>
                <c:pt idx="34">
                  <c:v>29.016103944000001</c:v>
                </c:pt>
                <c:pt idx="35">
                  <c:v>32.627682839000002</c:v>
                </c:pt>
                <c:pt idx="36">
                  <c:v>31.068838957000001</c:v>
                </c:pt>
                <c:pt idx="37">
                  <c:v>29.170444922000001</c:v>
                </c:pt>
                <c:pt idx="38">
                  <c:v>26.932500735000001</c:v>
                </c:pt>
                <c:pt idx="39">
                  <c:v>27.137149474000001</c:v>
                </c:pt>
                <c:pt idx="40">
                  <c:v>24.126312452000001</c:v>
                </c:pt>
                <c:pt idx="41">
                  <c:v>23.056672983999999</c:v>
                </c:pt>
                <c:pt idx="42">
                  <c:v>24.577938006</c:v>
                </c:pt>
                <c:pt idx="43">
                  <c:v>27.271844815000001</c:v>
                </c:pt>
                <c:pt idx="44">
                  <c:v>27.303537836</c:v>
                </c:pt>
                <c:pt idx="45">
                  <c:v>29.091739829000002</c:v>
                </c:pt>
                <c:pt idx="46">
                  <c:v>29.189390423999999</c:v>
                </c:pt>
                <c:pt idx="47">
                  <c:v>29.059189630999999</c:v>
                </c:pt>
                <c:pt idx="48">
                  <c:v>26.894601435999999</c:v>
                </c:pt>
                <c:pt idx="49">
                  <c:v>26.853913687999999</c:v>
                </c:pt>
                <c:pt idx="50">
                  <c:v>25.568180851000001</c:v>
                </c:pt>
                <c:pt idx="51">
                  <c:v>24.596637204</c:v>
                </c:pt>
                <c:pt idx="52">
                  <c:v>23.760016890999999</c:v>
                </c:pt>
                <c:pt idx="53">
                  <c:v>24.462777954</c:v>
                </c:pt>
                <c:pt idx="54">
                  <c:v>27.231991189999999</c:v>
                </c:pt>
                <c:pt idx="55">
                  <c:v>24.362383516000001</c:v>
                </c:pt>
                <c:pt idx="56">
                  <c:v>22.463255405999998</c:v>
                </c:pt>
                <c:pt idx="57">
                  <c:v>21.700857637999999</c:v>
                </c:pt>
                <c:pt idx="58">
                  <c:v>20.225199318000001</c:v>
                </c:pt>
                <c:pt idx="59">
                  <c:v>19.018631633999998</c:v>
                </c:pt>
                <c:pt idx="60">
                  <c:v>16.154118425</c:v>
                </c:pt>
                <c:pt idx="61">
                  <c:v>18.445728991999999</c:v>
                </c:pt>
                <c:pt idx="62">
                  <c:v>15.572535439999999</c:v>
                </c:pt>
                <c:pt idx="63">
                  <c:v>20.312897518</c:v>
                </c:pt>
                <c:pt idx="64">
                  <c:v>17.981174182</c:v>
                </c:pt>
                <c:pt idx="65">
                  <c:v>16.402776847999998</c:v>
                </c:pt>
                <c:pt idx="66">
                  <c:v>16.026113847000001</c:v>
                </c:pt>
                <c:pt idx="67">
                  <c:v>16.070954681</c:v>
                </c:pt>
                <c:pt idx="68">
                  <c:v>14.869220346000001</c:v>
                </c:pt>
                <c:pt idx="69">
                  <c:v>15.607069787</c:v>
                </c:pt>
                <c:pt idx="70">
                  <c:v>12.048365129</c:v>
                </c:pt>
                <c:pt idx="71">
                  <c:v>11.920288354</c:v>
                </c:pt>
                <c:pt idx="72">
                  <c:v>8.8921874758000001</c:v>
                </c:pt>
                <c:pt idx="73">
                  <c:v>10.804190749</c:v>
                </c:pt>
                <c:pt idx="74">
                  <c:v>13.859736652</c:v>
                </c:pt>
                <c:pt idx="75">
                  <c:v>18.013083476999999</c:v>
                </c:pt>
                <c:pt idx="76">
                  <c:v>13.008940936</c:v>
                </c:pt>
                <c:pt idx="77">
                  <c:v>14.884350846</c:v>
                </c:pt>
                <c:pt idx="78">
                  <c:v>16.924430895</c:v>
                </c:pt>
                <c:pt idx="79">
                  <c:v>15.497289694999999</c:v>
                </c:pt>
                <c:pt idx="80">
                  <c:v>16.293195364999999</c:v>
                </c:pt>
                <c:pt idx="81">
                  <c:v>20.199536982000001</c:v>
                </c:pt>
                <c:pt idx="82">
                  <c:v>25.670244915000001</c:v>
                </c:pt>
                <c:pt idx="83">
                  <c:v>23.630968792000001</c:v>
                </c:pt>
                <c:pt idx="84">
                  <c:v>29.612327715999999</c:v>
                </c:pt>
                <c:pt idx="85">
                  <c:v>30.109240611000001</c:v>
                </c:pt>
                <c:pt idx="86">
                  <c:v>27.413028050000001</c:v>
                </c:pt>
                <c:pt idx="87">
                  <c:v>26.121453122999998</c:v>
                </c:pt>
                <c:pt idx="88">
                  <c:v>25.83618061</c:v>
                </c:pt>
                <c:pt idx="89">
                  <c:v>27.57634294</c:v>
                </c:pt>
                <c:pt idx="90">
                  <c:v>29.763432208000001</c:v>
                </c:pt>
                <c:pt idx="91">
                  <c:v>33.357865873999998</c:v>
                </c:pt>
                <c:pt idx="92">
                  <c:v>30.305449982999999</c:v>
                </c:pt>
                <c:pt idx="93">
                  <c:v>30.524158910000001</c:v>
                </c:pt>
                <c:pt idx="94">
                  <c:v>33.414920377000001</c:v>
                </c:pt>
                <c:pt idx="95">
                  <c:v>38.692518428</c:v>
                </c:pt>
                <c:pt idx="96">
                  <c:v>39.836187006000003</c:v>
                </c:pt>
                <c:pt idx="97">
                  <c:v>43.296024719000002</c:v>
                </c:pt>
                <c:pt idx="98">
                  <c:v>41.027447752</c:v>
                </c:pt>
                <c:pt idx="99">
                  <c:v>47.306464867999999</c:v>
                </c:pt>
                <c:pt idx="100">
                  <c:v>49.211553653000003</c:v>
                </c:pt>
                <c:pt idx="101">
                  <c:v>48.200690215999998</c:v>
                </c:pt>
                <c:pt idx="102">
                  <c:v>53.303606602999999</c:v>
                </c:pt>
                <c:pt idx="103">
                  <c:v>53.62</c:v>
                </c:pt>
                <c:pt idx="104">
                  <c:v>59.82</c:v>
                </c:pt>
                <c:pt idx="105">
                  <c:v>56.71</c:v>
                </c:pt>
                <c:pt idx="106">
                  <c:v>52.8</c:v>
                </c:pt>
                <c:pt idx="107">
                  <c:v>51</c:v>
                </c:pt>
                <c:pt idx="108">
                  <c:v>45.5</c:v>
                </c:pt>
                <c:pt idx="109">
                  <c:v>47.1</c:v>
                </c:pt>
                <c:pt idx="110">
                  <c:v>50.93</c:v>
                </c:pt>
                <c:pt idx="111">
                  <c:v>50.1</c:v>
                </c:pt>
                <c:pt idx="112">
                  <c:v>49</c:v>
                </c:pt>
                <c:pt idx="113">
                  <c:v>51.82</c:v>
                </c:pt>
                <c:pt idx="114">
                  <c:v>49.81</c:v>
                </c:pt>
                <c:pt idx="115">
                  <c:v>45.57</c:v>
                </c:pt>
                <c:pt idx="116">
                  <c:v>48.4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A-D44A-8BA5-512DD76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8778456"/>
        <c:axId val="-2025599528"/>
      </c:scatterChart>
      <c:scatterChart>
        <c:scatterStyle val="lineMarker"/>
        <c:varyColors val="0"/>
        <c:ser>
          <c:idx val="1"/>
          <c:order val="1"/>
          <c:tx>
            <c:v>PETR4</c:v>
          </c:tx>
          <c:marker>
            <c:symbol val="none"/>
          </c:marker>
          <c:xVal>
            <c:numRef>
              <c:f>Correlação!$G$2:$G$118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Correlação!$H$2:$H$118</c:f>
              <c:numCache>
                <c:formatCode>General</c:formatCode>
                <c:ptCount val="117"/>
                <c:pt idx="0">
                  <c:v>26.594684306000001</c:v>
                </c:pt>
                <c:pt idx="1">
                  <c:v>26.937138537999999</c:v>
                </c:pt>
                <c:pt idx="2">
                  <c:v>27.544216494</c:v>
                </c:pt>
                <c:pt idx="3">
                  <c:v>25.720818743999999</c:v>
                </c:pt>
                <c:pt idx="4">
                  <c:v>23.381021126</c:v>
                </c:pt>
                <c:pt idx="5">
                  <c:v>21.216696873</c:v>
                </c:pt>
                <c:pt idx="6">
                  <c:v>21.998697240999999</c:v>
                </c:pt>
                <c:pt idx="7">
                  <c:v>20.733672697999999</c:v>
                </c:pt>
                <c:pt idx="8">
                  <c:v>21.712276589999998</c:v>
                </c:pt>
                <c:pt idx="9">
                  <c:v>20.566593985000001</c:v>
                </c:pt>
                <c:pt idx="10">
                  <c:v>19.668067703999998</c:v>
                </c:pt>
                <c:pt idx="11">
                  <c:v>21.998364413000001</c:v>
                </c:pt>
                <c:pt idx="12">
                  <c:v>21.837145179</c:v>
                </c:pt>
                <c:pt idx="13">
                  <c:v>23.038228469</c:v>
                </c:pt>
                <c:pt idx="14">
                  <c:v>23.107252845000001</c:v>
                </c:pt>
                <c:pt idx="15">
                  <c:v>20.850461802000002</c:v>
                </c:pt>
                <c:pt idx="16">
                  <c:v>19.785420174999999</c:v>
                </c:pt>
                <c:pt idx="17">
                  <c:v>19.481534519</c:v>
                </c:pt>
                <c:pt idx="18">
                  <c:v>19.300845750000001</c:v>
                </c:pt>
                <c:pt idx="19">
                  <c:v>17.232046234999999</c:v>
                </c:pt>
                <c:pt idx="20">
                  <c:v>15.823657839999999</c:v>
                </c:pt>
                <c:pt idx="21">
                  <c:v>17.662847391</c:v>
                </c:pt>
                <c:pt idx="22">
                  <c:v>18.43552691</c:v>
                </c:pt>
                <c:pt idx="23">
                  <c:v>17.967323052000001</c:v>
                </c:pt>
                <c:pt idx="24">
                  <c:v>20.733270507</c:v>
                </c:pt>
                <c:pt idx="25">
                  <c:v>20.513870819000001</c:v>
                </c:pt>
                <c:pt idx="26">
                  <c:v>19.802891073000001</c:v>
                </c:pt>
                <c:pt idx="27">
                  <c:v>18.055826592999999</c:v>
                </c:pt>
                <c:pt idx="28">
                  <c:v>16.391816098</c:v>
                </c:pt>
                <c:pt idx="29">
                  <c:v>15.637775419</c:v>
                </c:pt>
                <c:pt idx="30">
                  <c:v>16.708855927999998</c:v>
                </c:pt>
                <c:pt idx="31">
                  <c:v>17.779936436</c:v>
                </c:pt>
                <c:pt idx="32">
                  <c:v>19.168056775</c:v>
                </c:pt>
                <c:pt idx="33">
                  <c:v>17.822779657000002</c:v>
                </c:pt>
                <c:pt idx="34">
                  <c:v>15.989089826000001</c:v>
                </c:pt>
                <c:pt idx="35">
                  <c:v>16.725993215999999</c:v>
                </c:pt>
                <c:pt idx="36">
                  <c:v>15.49210847</c:v>
                </c:pt>
                <c:pt idx="37">
                  <c:v>14.232517793</c:v>
                </c:pt>
                <c:pt idx="38">
                  <c:v>15.72346186</c:v>
                </c:pt>
                <c:pt idx="39">
                  <c:v>17.897848693</c:v>
                </c:pt>
                <c:pt idx="40">
                  <c:v>17.862213354000001</c:v>
                </c:pt>
                <c:pt idx="41">
                  <c:v>14.414494367</c:v>
                </c:pt>
                <c:pt idx="42">
                  <c:v>14.512491548</c:v>
                </c:pt>
                <c:pt idx="43">
                  <c:v>14.966842112</c:v>
                </c:pt>
                <c:pt idx="44">
                  <c:v>16.356620309</c:v>
                </c:pt>
                <c:pt idx="45">
                  <c:v>18.200749069</c:v>
                </c:pt>
                <c:pt idx="46">
                  <c:v>17.033691737000002</c:v>
                </c:pt>
                <c:pt idx="47">
                  <c:v>15.21628948</c:v>
                </c:pt>
                <c:pt idx="48">
                  <c:v>13.095986848000001</c:v>
                </c:pt>
                <c:pt idx="49">
                  <c:v>12.107106207999999</c:v>
                </c:pt>
                <c:pt idx="50">
                  <c:v>14.058140984</c:v>
                </c:pt>
                <c:pt idx="51">
                  <c:v>15.701971176000001</c:v>
                </c:pt>
                <c:pt idx="52">
                  <c:v>15.815684908</c:v>
                </c:pt>
                <c:pt idx="53">
                  <c:v>16.384253568999998</c:v>
                </c:pt>
                <c:pt idx="54">
                  <c:v>18.099435696</c:v>
                </c:pt>
                <c:pt idx="55">
                  <c:v>22.126797041</c:v>
                </c:pt>
                <c:pt idx="56">
                  <c:v>17.142345117000001</c:v>
                </c:pt>
                <c:pt idx="57">
                  <c:v>14.479548555999999</c:v>
                </c:pt>
                <c:pt idx="58">
                  <c:v>12.129464758999999</c:v>
                </c:pt>
                <c:pt idx="59">
                  <c:v>9.4950966318999992</c:v>
                </c:pt>
                <c:pt idx="60">
                  <c:v>7.7514860727999997</c:v>
                </c:pt>
                <c:pt idx="61">
                  <c:v>9.0686701364999998</c:v>
                </c:pt>
                <c:pt idx="62">
                  <c:v>9.2202884459999996</c:v>
                </c:pt>
                <c:pt idx="63">
                  <c:v>12.366368367</c:v>
                </c:pt>
                <c:pt idx="64">
                  <c:v>11.684085975</c:v>
                </c:pt>
                <c:pt idx="65">
                  <c:v>12.044179460000001</c:v>
                </c:pt>
                <c:pt idx="66">
                  <c:v>9.9499515604000006</c:v>
                </c:pt>
                <c:pt idx="67">
                  <c:v>8.7085766513999996</c:v>
                </c:pt>
                <c:pt idx="68">
                  <c:v>6.8607285044999999</c:v>
                </c:pt>
                <c:pt idx="69">
                  <c:v>7.3061072885999998</c:v>
                </c:pt>
                <c:pt idx="70">
                  <c:v>7.2682027112999998</c:v>
                </c:pt>
                <c:pt idx="71">
                  <c:v>6.3490167099999999</c:v>
                </c:pt>
                <c:pt idx="72">
                  <c:v>4.5864538620999999</c:v>
                </c:pt>
                <c:pt idx="73">
                  <c:v>4.8707381924000002</c:v>
                </c:pt>
                <c:pt idx="74">
                  <c:v>7.9125805266000002</c:v>
                </c:pt>
                <c:pt idx="75">
                  <c:v>9.6940956631000006</c:v>
                </c:pt>
                <c:pt idx="76">
                  <c:v>7.6188200519000002</c:v>
                </c:pt>
                <c:pt idx="77">
                  <c:v>8.9265279713000005</c:v>
                </c:pt>
                <c:pt idx="78">
                  <c:v>11.248183335</c:v>
                </c:pt>
                <c:pt idx="79">
                  <c:v>12.176845481000001</c:v>
                </c:pt>
                <c:pt idx="80">
                  <c:v>12.859127873</c:v>
                </c:pt>
                <c:pt idx="81">
                  <c:v>16.763299343</c:v>
                </c:pt>
                <c:pt idx="82">
                  <c:v>15.161830949000001</c:v>
                </c:pt>
                <c:pt idx="83">
                  <c:v>14.091026638000001</c:v>
                </c:pt>
                <c:pt idx="84">
                  <c:v>14.233168803</c:v>
                </c:pt>
                <c:pt idx="85">
                  <c:v>14.384787113</c:v>
                </c:pt>
                <c:pt idx="86">
                  <c:v>13.730933153000001</c:v>
                </c:pt>
                <c:pt idx="87">
                  <c:v>13.238173647</c:v>
                </c:pt>
                <c:pt idx="88">
                  <c:v>12.281083067999999</c:v>
                </c:pt>
                <c:pt idx="89">
                  <c:v>11.721990551999999</c:v>
                </c:pt>
                <c:pt idx="90">
                  <c:v>12.593795832</c:v>
                </c:pt>
                <c:pt idx="91">
                  <c:v>12.934937028</c:v>
                </c:pt>
                <c:pt idx="92">
                  <c:v>14.498500845000001</c:v>
                </c:pt>
                <c:pt idx="93">
                  <c:v>15.891494063</c:v>
                </c:pt>
                <c:pt idx="94">
                  <c:v>14.574309999</c:v>
                </c:pt>
                <c:pt idx="95">
                  <c:v>15.256592392</c:v>
                </c:pt>
                <c:pt idx="96">
                  <c:v>18.668004356000001</c:v>
                </c:pt>
                <c:pt idx="97">
                  <c:v>20.335805761</c:v>
                </c:pt>
                <c:pt idx="98">
                  <c:v>20.288425039</c:v>
                </c:pt>
                <c:pt idx="99">
                  <c:v>21.766703556</c:v>
                </c:pt>
                <c:pt idx="100">
                  <c:v>18.021693407000001</c:v>
                </c:pt>
                <c:pt idx="101">
                  <c:v>16.32207111</c:v>
                </c:pt>
                <c:pt idx="102">
                  <c:v>18.724330557999998</c:v>
                </c:pt>
                <c:pt idx="103">
                  <c:v>18.333297873999999</c:v>
                </c:pt>
                <c:pt idx="104">
                  <c:v>20.075246738000001</c:v>
                </c:pt>
                <c:pt idx="105">
                  <c:v>26.291053338000001</c:v>
                </c:pt>
                <c:pt idx="106">
                  <c:v>24.331651804</c:v>
                </c:pt>
                <c:pt idx="107">
                  <c:v>22.402550191</c:v>
                </c:pt>
                <c:pt idx="108">
                  <c:v>25.267073804999999</c:v>
                </c:pt>
                <c:pt idx="109">
                  <c:v>26.728968613999999</c:v>
                </c:pt>
                <c:pt idx="110">
                  <c:v>27.716735377999999</c:v>
                </c:pt>
                <c:pt idx="111">
                  <c:v>26.797073455</c:v>
                </c:pt>
                <c:pt idx="112">
                  <c:v>25.350779726999999</c:v>
                </c:pt>
                <c:pt idx="113">
                  <c:v>27.196276803</c:v>
                </c:pt>
                <c:pt idx="114">
                  <c:v>25.876647172999999</c:v>
                </c:pt>
                <c:pt idx="115">
                  <c:v>25.5</c:v>
                </c:pt>
                <c:pt idx="116">
                  <c:v>27.22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EA-D44A-8BA5-512DD76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5593128"/>
        <c:axId val="-2025596488"/>
      </c:scatterChart>
      <c:valAx>
        <c:axId val="-20287784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-2025599528"/>
        <c:crosses val="autoZero"/>
        <c:crossBetween val="midCat"/>
      </c:valAx>
      <c:valAx>
        <c:axId val="-2025599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028778456"/>
        <c:crosses val="autoZero"/>
        <c:crossBetween val="midCat"/>
      </c:valAx>
      <c:valAx>
        <c:axId val="-2025596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025593128"/>
        <c:crosses val="max"/>
        <c:crossBetween val="midCat"/>
      </c:valAx>
      <c:valAx>
        <c:axId val="-2025593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2025596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Fronteira de Markowitz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Markowitz!$J$5:$J$15</c:f>
              <c:numCache>
                <c:formatCode>0.00%</c:formatCode>
                <c:ptCount val="11"/>
                <c:pt idx="0">
                  <c:v>4.9986198095074222E-2</c:v>
                </c:pt>
                <c:pt idx="1">
                  <c:v>3.8987694853633008E-2</c:v>
                </c:pt>
                <c:pt idx="2">
                  <c:v>3.1991036244548264E-2</c:v>
                </c:pt>
                <c:pt idx="3">
                  <c:v>3.1761268079218745E-2</c:v>
                </c:pt>
                <c:pt idx="4">
                  <c:v>3.8419989588754436E-2</c:v>
                </c:pt>
                <c:pt idx="5">
                  <c:v>4.9248134482434938E-2</c:v>
                </c:pt>
                <c:pt idx="6">
                  <c:v>6.2101751988168544E-2</c:v>
                </c:pt>
                <c:pt idx="7">
                  <c:v>7.5959477025582478E-2</c:v>
                </c:pt>
                <c:pt idx="8">
                  <c:v>9.036051350009025E-2</c:v>
                </c:pt>
                <c:pt idx="9">
                  <c:v>0.10508172224511735</c:v>
                </c:pt>
                <c:pt idx="10">
                  <c:v>0.12000533321482003</c:v>
                </c:pt>
              </c:numCache>
            </c:numRef>
          </c:xVal>
          <c:yVal>
            <c:numRef>
              <c:f>Markowitz!$I$5:$I$15</c:f>
              <c:numCache>
                <c:formatCode>0.00%</c:formatCode>
                <c:ptCount val="11"/>
                <c:pt idx="0">
                  <c:v>7.9999999999999988E-2</c:v>
                </c:pt>
                <c:pt idx="1">
                  <c:v>9.7000000000000003E-2</c:v>
                </c:pt>
                <c:pt idx="2">
                  <c:v>0.11399999999999999</c:v>
                </c:pt>
                <c:pt idx="3">
                  <c:v>0.13099999999999998</c:v>
                </c:pt>
                <c:pt idx="4">
                  <c:v>0.14799999999999999</c:v>
                </c:pt>
                <c:pt idx="5">
                  <c:v>0.16499999999999998</c:v>
                </c:pt>
                <c:pt idx="6">
                  <c:v>0.182</c:v>
                </c:pt>
                <c:pt idx="7">
                  <c:v>0.19899999999999998</c:v>
                </c:pt>
                <c:pt idx="8">
                  <c:v>0.216</c:v>
                </c:pt>
                <c:pt idx="9">
                  <c:v>0.23300000000000001</c:v>
                </c:pt>
                <c:pt idx="10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03-7E46-A1CE-8A140CC5E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293135"/>
        <c:axId val="1282397167"/>
      </c:scatterChart>
      <c:valAx>
        <c:axId val="101629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2397167"/>
        <c:crosses val="autoZero"/>
        <c:crossBetween val="midCat"/>
      </c:valAx>
      <c:valAx>
        <c:axId val="12823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629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Perdas Esperadas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'Risco Crédito'!$B$43:$B$50</c:f>
              <c:numCache>
                <c:formatCode>_("R$"* #,##0.00_);_("R$"* \(#,##0.00\);_("R$"* "-"??_);_(@_)</c:formatCode>
                <c:ptCount val="8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70000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</c:numCache>
            </c:numRef>
          </c:cat>
          <c:val>
            <c:numRef>
              <c:f>'Risco Crédito'!$C$43:$C$50</c:f>
              <c:numCache>
                <c:formatCode>0.00%</c:formatCode>
                <c:ptCount val="8"/>
                <c:pt idx="0">
                  <c:v>0.83789999999999998</c:v>
                </c:pt>
                <c:pt idx="1">
                  <c:v>1.7100000000000001E-2</c:v>
                </c:pt>
                <c:pt idx="2">
                  <c:v>4.41E-2</c:v>
                </c:pt>
                <c:pt idx="3">
                  <c:v>9.0000000000000008E-4</c:v>
                </c:pt>
                <c:pt idx="4">
                  <c:v>9.3100000000000002E-2</c:v>
                </c:pt>
                <c:pt idx="5">
                  <c:v>1.9E-3</c:v>
                </c:pt>
                <c:pt idx="6">
                  <c:v>4.9000000000000007E-3</c:v>
                </c:pt>
                <c:pt idx="7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B-1C47-A4E0-7F2A84423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5249919"/>
        <c:axId val="946739663"/>
      </c:barChart>
      <c:lineChart>
        <c:grouping val="standard"/>
        <c:varyColors val="0"/>
        <c:ser>
          <c:idx val="1"/>
          <c:order val="1"/>
          <c:tx>
            <c:v>Prob. Acumulada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'Risco Crédito'!$B$43:$B$50</c:f>
              <c:numCache>
                <c:formatCode>_("R$"* #,##0.00_);_("R$"* \(#,##0.00\);_("R$"* "-"??_);_(@_)</c:formatCode>
                <c:ptCount val="8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70000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</c:numCache>
            </c:numRef>
          </c:cat>
          <c:val>
            <c:numRef>
              <c:f>'Risco Crédito'!$D$43:$D$50</c:f>
              <c:numCache>
                <c:formatCode>0.00%</c:formatCode>
                <c:ptCount val="8"/>
                <c:pt idx="0">
                  <c:v>0.83789999999999998</c:v>
                </c:pt>
                <c:pt idx="1">
                  <c:v>0.85499999999999998</c:v>
                </c:pt>
                <c:pt idx="2">
                  <c:v>0.89910000000000001</c:v>
                </c:pt>
                <c:pt idx="3">
                  <c:v>0.9</c:v>
                </c:pt>
                <c:pt idx="4">
                  <c:v>0.99309999999999998</c:v>
                </c:pt>
                <c:pt idx="5">
                  <c:v>0.995</c:v>
                </c:pt>
                <c:pt idx="6">
                  <c:v>0.99990000000000001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B-1C47-A4E0-7F2A84423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043536"/>
        <c:axId val="2093066976"/>
      </c:lineChart>
      <c:catAx>
        <c:axId val="325249919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6739663"/>
        <c:crosses val="autoZero"/>
        <c:auto val="1"/>
        <c:lblAlgn val="ctr"/>
        <c:lblOffset val="100"/>
        <c:noMultiLvlLbl val="0"/>
      </c:catAx>
      <c:valAx>
        <c:axId val="9467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249919"/>
        <c:crosses val="autoZero"/>
        <c:crossBetween val="between"/>
      </c:valAx>
      <c:valAx>
        <c:axId val="209306697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3043536"/>
        <c:crosses val="max"/>
        <c:crossBetween val="between"/>
      </c:valAx>
      <c:catAx>
        <c:axId val="209304353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093066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8" Type="http://schemas.openxmlformats.org/officeDocument/2006/relationships/image" Target="../media/image2.png"/><Relationship Id="rId26" Type="http://schemas.openxmlformats.org/officeDocument/2006/relationships/image" Target="../media/image6.png"/><Relationship Id="rId39" Type="http://schemas.openxmlformats.org/officeDocument/2006/relationships/customXml" Target="../ink/ink14.xml"/><Relationship Id="rId21" Type="http://schemas.openxmlformats.org/officeDocument/2006/relationships/customXml" Target="../ink/ink5.xml"/><Relationship Id="rId34" Type="http://schemas.openxmlformats.org/officeDocument/2006/relationships/image" Target="../media/image11.png"/><Relationship Id="rId42" Type="http://schemas.openxmlformats.org/officeDocument/2006/relationships/image" Target="../media/image15.png"/><Relationship Id="rId47" Type="http://schemas.openxmlformats.org/officeDocument/2006/relationships/customXml" Target="../ink/ink18.xml"/><Relationship Id="rId50" Type="http://schemas.openxmlformats.org/officeDocument/2006/relationships/image" Target="../media/image19.png"/><Relationship Id="rId55" Type="http://schemas.openxmlformats.org/officeDocument/2006/relationships/customXml" Target="../ink/ink22.xml"/><Relationship Id="rId63" Type="http://schemas.openxmlformats.org/officeDocument/2006/relationships/customXml" Target="../ink/ink26.xml"/><Relationship Id="rId68" Type="http://schemas.openxmlformats.org/officeDocument/2006/relationships/image" Target="../media/image28.png"/><Relationship Id="rId16" Type="http://schemas.openxmlformats.org/officeDocument/2006/relationships/image" Target="../media/image1.png"/><Relationship Id="rId29" Type="http://schemas.openxmlformats.org/officeDocument/2006/relationships/customXml" Target="../ink/ink9.xml"/><Relationship Id="rId24" Type="http://schemas.openxmlformats.org/officeDocument/2006/relationships/image" Target="../media/image5.png"/><Relationship Id="rId32" Type="http://schemas.openxmlformats.org/officeDocument/2006/relationships/image" Target="../media/image10.png"/><Relationship Id="rId37" Type="http://schemas.openxmlformats.org/officeDocument/2006/relationships/customXml" Target="../ink/ink13.xml"/><Relationship Id="rId40" Type="http://schemas.openxmlformats.org/officeDocument/2006/relationships/image" Target="../media/image14.png"/><Relationship Id="rId45" Type="http://schemas.openxmlformats.org/officeDocument/2006/relationships/customXml" Target="../ink/ink17.xml"/><Relationship Id="rId53" Type="http://schemas.openxmlformats.org/officeDocument/2006/relationships/customXml" Target="../ink/ink21.xml"/><Relationship Id="rId58" Type="http://schemas.openxmlformats.org/officeDocument/2006/relationships/image" Target="../media/image23.png"/><Relationship Id="rId66" Type="http://schemas.openxmlformats.org/officeDocument/2006/relationships/image" Target="../media/image27.png"/><Relationship Id="rId61" Type="http://schemas.openxmlformats.org/officeDocument/2006/relationships/customXml" Target="../ink/ink25.xml"/><Relationship Id="rId19" Type="http://schemas.openxmlformats.org/officeDocument/2006/relationships/customXml" Target="../ink/ink4.xml"/><Relationship Id="rId14" Type="http://schemas.openxmlformats.org/officeDocument/2006/relationships/image" Target="../media/image7.png"/><Relationship Id="rId22" Type="http://schemas.openxmlformats.org/officeDocument/2006/relationships/image" Target="../media/image4.png"/><Relationship Id="rId27" Type="http://schemas.openxmlformats.org/officeDocument/2006/relationships/customXml" Target="../ink/ink8.xml"/><Relationship Id="rId30" Type="http://schemas.openxmlformats.org/officeDocument/2006/relationships/image" Target="../media/image9.png"/><Relationship Id="rId35" Type="http://schemas.openxmlformats.org/officeDocument/2006/relationships/customXml" Target="../ink/ink12.xml"/><Relationship Id="rId43" Type="http://schemas.openxmlformats.org/officeDocument/2006/relationships/customXml" Target="../ink/ink16.xml"/><Relationship Id="rId48" Type="http://schemas.openxmlformats.org/officeDocument/2006/relationships/image" Target="../media/image18.png"/><Relationship Id="rId56" Type="http://schemas.openxmlformats.org/officeDocument/2006/relationships/image" Target="../media/image22.png"/><Relationship Id="rId64" Type="http://schemas.openxmlformats.org/officeDocument/2006/relationships/image" Target="../media/image26.png"/><Relationship Id="rId69" Type="http://schemas.openxmlformats.org/officeDocument/2006/relationships/customXml" Target="../ink/ink29.xml"/><Relationship Id="rId51" Type="http://schemas.openxmlformats.org/officeDocument/2006/relationships/customXml" Target="../ink/ink20.xml"/><Relationship Id="rId17" Type="http://schemas.openxmlformats.org/officeDocument/2006/relationships/customXml" Target="../ink/ink3.xml"/><Relationship Id="rId25" Type="http://schemas.openxmlformats.org/officeDocument/2006/relationships/customXml" Target="../ink/ink7.xml"/><Relationship Id="rId33" Type="http://schemas.openxmlformats.org/officeDocument/2006/relationships/customXml" Target="../ink/ink11.xml"/><Relationship Id="rId38" Type="http://schemas.openxmlformats.org/officeDocument/2006/relationships/image" Target="../media/image13.png"/><Relationship Id="rId46" Type="http://schemas.openxmlformats.org/officeDocument/2006/relationships/image" Target="../media/image17.png"/><Relationship Id="rId59" Type="http://schemas.openxmlformats.org/officeDocument/2006/relationships/customXml" Target="../ink/ink24.xml"/><Relationship Id="rId67" Type="http://schemas.openxmlformats.org/officeDocument/2006/relationships/customXml" Target="../ink/ink28.xml"/><Relationship Id="rId20" Type="http://schemas.openxmlformats.org/officeDocument/2006/relationships/image" Target="../media/image3.png"/><Relationship Id="rId41" Type="http://schemas.openxmlformats.org/officeDocument/2006/relationships/customXml" Target="../ink/ink15.xml"/><Relationship Id="rId54" Type="http://schemas.openxmlformats.org/officeDocument/2006/relationships/image" Target="../media/image21.png"/><Relationship Id="rId62" Type="http://schemas.openxmlformats.org/officeDocument/2006/relationships/image" Target="../media/image25.png"/><Relationship Id="rId70" Type="http://schemas.openxmlformats.org/officeDocument/2006/relationships/image" Target="../media/image29.png"/><Relationship Id="rId1" Type="http://schemas.openxmlformats.org/officeDocument/2006/relationships/customXml" Target="../ink/ink1.xml"/><Relationship Id="rId15" Type="http://schemas.openxmlformats.org/officeDocument/2006/relationships/customXml" Target="../ink/ink2.xml"/><Relationship Id="rId23" Type="http://schemas.openxmlformats.org/officeDocument/2006/relationships/customXml" Target="../ink/ink6.xml"/><Relationship Id="rId28" Type="http://schemas.openxmlformats.org/officeDocument/2006/relationships/image" Target="../media/image8.png"/><Relationship Id="rId36" Type="http://schemas.openxmlformats.org/officeDocument/2006/relationships/image" Target="../media/image12.png"/><Relationship Id="rId49" Type="http://schemas.openxmlformats.org/officeDocument/2006/relationships/customXml" Target="../ink/ink19.xml"/><Relationship Id="rId57" Type="http://schemas.openxmlformats.org/officeDocument/2006/relationships/customXml" Target="../ink/ink23.xml"/><Relationship Id="rId31" Type="http://schemas.openxmlformats.org/officeDocument/2006/relationships/customXml" Target="../ink/ink10.xml"/><Relationship Id="rId44" Type="http://schemas.openxmlformats.org/officeDocument/2006/relationships/image" Target="../media/image16.png"/><Relationship Id="rId52" Type="http://schemas.openxmlformats.org/officeDocument/2006/relationships/image" Target="../media/image20.png"/><Relationship Id="rId60" Type="http://schemas.openxmlformats.org/officeDocument/2006/relationships/image" Target="../media/image24.png"/><Relationship Id="rId65" Type="http://schemas.openxmlformats.org/officeDocument/2006/relationships/customXml" Target="../ink/ink27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5.png"/><Relationship Id="rId18" Type="http://schemas.openxmlformats.org/officeDocument/2006/relationships/customXml" Target="../ink/ink38.xml"/><Relationship Id="rId26" Type="http://schemas.openxmlformats.org/officeDocument/2006/relationships/customXml" Target="../ink/ink42.xml"/><Relationship Id="rId39" Type="http://schemas.openxmlformats.org/officeDocument/2006/relationships/image" Target="../media/image48.png"/><Relationship Id="rId21" Type="http://schemas.openxmlformats.org/officeDocument/2006/relationships/image" Target="../media/image39.png"/><Relationship Id="rId34" Type="http://schemas.openxmlformats.org/officeDocument/2006/relationships/customXml" Target="../ink/ink46.xml"/><Relationship Id="rId42" Type="http://schemas.openxmlformats.org/officeDocument/2006/relationships/customXml" Target="../ink/ink50.xml"/><Relationship Id="rId7" Type="http://schemas.openxmlformats.org/officeDocument/2006/relationships/image" Target="../media/image32.png"/><Relationship Id="rId2" Type="http://schemas.openxmlformats.org/officeDocument/2006/relationships/customXml" Target="../ink/ink30.xml"/><Relationship Id="rId16" Type="http://schemas.openxmlformats.org/officeDocument/2006/relationships/customXml" Target="../ink/ink37.xml"/><Relationship Id="rId29" Type="http://schemas.openxmlformats.org/officeDocument/2006/relationships/image" Target="../media/image43.png"/><Relationship Id="rId1" Type="http://schemas.openxmlformats.org/officeDocument/2006/relationships/chart" Target="../charts/chart3.xml"/><Relationship Id="rId6" Type="http://schemas.openxmlformats.org/officeDocument/2006/relationships/customXml" Target="../ink/ink32.xml"/><Relationship Id="rId11" Type="http://schemas.openxmlformats.org/officeDocument/2006/relationships/image" Target="../media/image34.png"/><Relationship Id="rId24" Type="http://schemas.openxmlformats.org/officeDocument/2006/relationships/customXml" Target="../ink/ink41.xml"/><Relationship Id="rId32" Type="http://schemas.openxmlformats.org/officeDocument/2006/relationships/customXml" Target="../ink/ink45.xml"/><Relationship Id="rId37" Type="http://schemas.openxmlformats.org/officeDocument/2006/relationships/image" Target="../media/image47.png"/><Relationship Id="rId40" Type="http://schemas.openxmlformats.org/officeDocument/2006/relationships/customXml" Target="../ink/ink49.xml"/><Relationship Id="rId45" Type="http://schemas.openxmlformats.org/officeDocument/2006/relationships/image" Target="../media/image51.png"/><Relationship Id="rId5" Type="http://schemas.openxmlformats.org/officeDocument/2006/relationships/image" Target="../media/image31.png"/><Relationship Id="rId15" Type="http://schemas.openxmlformats.org/officeDocument/2006/relationships/image" Target="../media/image36.png"/><Relationship Id="rId23" Type="http://schemas.openxmlformats.org/officeDocument/2006/relationships/image" Target="../media/image40.png"/><Relationship Id="rId28" Type="http://schemas.openxmlformats.org/officeDocument/2006/relationships/customXml" Target="../ink/ink43.xml"/><Relationship Id="rId36" Type="http://schemas.openxmlformats.org/officeDocument/2006/relationships/customXml" Target="../ink/ink47.xml"/><Relationship Id="rId10" Type="http://schemas.openxmlformats.org/officeDocument/2006/relationships/customXml" Target="../ink/ink34.xml"/><Relationship Id="rId19" Type="http://schemas.openxmlformats.org/officeDocument/2006/relationships/image" Target="../media/image38.png"/><Relationship Id="rId31" Type="http://schemas.openxmlformats.org/officeDocument/2006/relationships/image" Target="../media/image44.png"/><Relationship Id="rId44" Type="http://schemas.openxmlformats.org/officeDocument/2006/relationships/customXml" Target="../ink/ink51.xml"/><Relationship Id="rId4" Type="http://schemas.openxmlformats.org/officeDocument/2006/relationships/customXml" Target="../ink/ink31.xml"/><Relationship Id="rId9" Type="http://schemas.openxmlformats.org/officeDocument/2006/relationships/image" Target="../media/image33.png"/><Relationship Id="rId14" Type="http://schemas.openxmlformats.org/officeDocument/2006/relationships/customXml" Target="../ink/ink36.xml"/><Relationship Id="rId22" Type="http://schemas.openxmlformats.org/officeDocument/2006/relationships/customXml" Target="../ink/ink40.xml"/><Relationship Id="rId27" Type="http://schemas.openxmlformats.org/officeDocument/2006/relationships/image" Target="../media/image42.png"/><Relationship Id="rId30" Type="http://schemas.openxmlformats.org/officeDocument/2006/relationships/customXml" Target="../ink/ink44.xml"/><Relationship Id="rId35" Type="http://schemas.openxmlformats.org/officeDocument/2006/relationships/image" Target="../media/image46.png"/><Relationship Id="rId43" Type="http://schemas.openxmlformats.org/officeDocument/2006/relationships/image" Target="../media/image50.png"/><Relationship Id="rId8" Type="http://schemas.openxmlformats.org/officeDocument/2006/relationships/customXml" Target="../ink/ink33.xml"/><Relationship Id="rId3" Type="http://schemas.openxmlformats.org/officeDocument/2006/relationships/image" Target="../media/image30.png"/><Relationship Id="rId12" Type="http://schemas.openxmlformats.org/officeDocument/2006/relationships/customXml" Target="../ink/ink35.xml"/><Relationship Id="rId17" Type="http://schemas.openxmlformats.org/officeDocument/2006/relationships/image" Target="../media/image37.png"/><Relationship Id="rId25" Type="http://schemas.openxmlformats.org/officeDocument/2006/relationships/image" Target="../media/image41.png"/><Relationship Id="rId33" Type="http://schemas.openxmlformats.org/officeDocument/2006/relationships/image" Target="../media/image45.png"/><Relationship Id="rId38" Type="http://schemas.openxmlformats.org/officeDocument/2006/relationships/customXml" Target="../ink/ink48.xml"/><Relationship Id="rId20" Type="http://schemas.openxmlformats.org/officeDocument/2006/relationships/customXml" Target="../ink/ink39.xml"/><Relationship Id="rId41" Type="http://schemas.openxmlformats.org/officeDocument/2006/relationships/image" Target="../media/image49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ustomXml" Target="../ink/ink58.xml"/><Relationship Id="rId18" Type="http://schemas.openxmlformats.org/officeDocument/2006/relationships/image" Target="../media/image60.png"/><Relationship Id="rId26" Type="http://schemas.openxmlformats.org/officeDocument/2006/relationships/customXml" Target="../ink/ink64.xml"/><Relationship Id="rId21" Type="http://schemas.openxmlformats.org/officeDocument/2006/relationships/image" Target="../media/image61.png"/><Relationship Id="rId34" Type="http://schemas.openxmlformats.org/officeDocument/2006/relationships/customXml" Target="../ink/ink68.xml"/><Relationship Id="rId7" Type="http://schemas.openxmlformats.org/officeDocument/2006/relationships/customXml" Target="../ink/ink55.xml"/><Relationship Id="rId12" Type="http://schemas.openxmlformats.org/officeDocument/2006/relationships/image" Target="../media/image57.png"/><Relationship Id="rId17" Type="http://schemas.openxmlformats.org/officeDocument/2006/relationships/customXml" Target="../ink/ink60.xml"/><Relationship Id="rId25" Type="http://schemas.openxmlformats.org/officeDocument/2006/relationships/image" Target="../media/image63.png"/><Relationship Id="rId33" Type="http://schemas.openxmlformats.org/officeDocument/2006/relationships/image" Target="../media/image67.png"/><Relationship Id="rId2" Type="http://schemas.openxmlformats.org/officeDocument/2006/relationships/image" Target="../media/image52.png"/><Relationship Id="rId16" Type="http://schemas.openxmlformats.org/officeDocument/2006/relationships/image" Target="../media/image59.png"/><Relationship Id="rId20" Type="http://schemas.openxmlformats.org/officeDocument/2006/relationships/customXml" Target="../ink/ink61.xml"/><Relationship Id="rId29" Type="http://schemas.openxmlformats.org/officeDocument/2006/relationships/image" Target="../media/image65.png"/><Relationship Id="rId1" Type="http://schemas.openxmlformats.org/officeDocument/2006/relationships/customXml" Target="../ink/ink52.xml"/><Relationship Id="rId6" Type="http://schemas.openxmlformats.org/officeDocument/2006/relationships/image" Target="../media/image54.png"/><Relationship Id="rId11" Type="http://schemas.openxmlformats.org/officeDocument/2006/relationships/customXml" Target="../ink/ink57.xml"/><Relationship Id="rId24" Type="http://schemas.openxmlformats.org/officeDocument/2006/relationships/customXml" Target="../ink/ink63.xml"/><Relationship Id="rId32" Type="http://schemas.openxmlformats.org/officeDocument/2006/relationships/customXml" Target="../ink/ink67.xml"/><Relationship Id="rId37" Type="http://schemas.openxmlformats.org/officeDocument/2006/relationships/image" Target="../media/image69.png"/><Relationship Id="rId5" Type="http://schemas.openxmlformats.org/officeDocument/2006/relationships/customXml" Target="../ink/ink54.xml"/><Relationship Id="rId15" Type="http://schemas.openxmlformats.org/officeDocument/2006/relationships/customXml" Target="../ink/ink59.xml"/><Relationship Id="rId23" Type="http://schemas.openxmlformats.org/officeDocument/2006/relationships/image" Target="../media/image62.png"/><Relationship Id="rId28" Type="http://schemas.openxmlformats.org/officeDocument/2006/relationships/customXml" Target="../ink/ink65.xml"/><Relationship Id="rId36" Type="http://schemas.openxmlformats.org/officeDocument/2006/relationships/customXml" Target="../ink/ink69.xml"/><Relationship Id="rId10" Type="http://schemas.openxmlformats.org/officeDocument/2006/relationships/image" Target="../media/image56.png"/><Relationship Id="rId19" Type="http://schemas.openxmlformats.org/officeDocument/2006/relationships/chart" Target="../charts/chart4.xml"/><Relationship Id="rId31" Type="http://schemas.openxmlformats.org/officeDocument/2006/relationships/image" Target="../media/image66.png"/><Relationship Id="rId4" Type="http://schemas.openxmlformats.org/officeDocument/2006/relationships/image" Target="../media/image53.png"/><Relationship Id="rId9" Type="http://schemas.openxmlformats.org/officeDocument/2006/relationships/customXml" Target="../ink/ink56.xml"/><Relationship Id="rId14" Type="http://schemas.openxmlformats.org/officeDocument/2006/relationships/image" Target="../media/image58.png"/><Relationship Id="rId22" Type="http://schemas.openxmlformats.org/officeDocument/2006/relationships/customXml" Target="../ink/ink62.xml"/><Relationship Id="rId27" Type="http://schemas.openxmlformats.org/officeDocument/2006/relationships/image" Target="../media/image64.png"/><Relationship Id="rId30" Type="http://schemas.openxmlformats.org/officeDocument/2006/relationships/customXml" Target="../ink/ink66.xml"/><Relationship Id="rId35" Type="http://schemas.openxmlformats.org/officeDocument/2006/relationships/image" Target="../media/image68.png"/><Relationship Id="rId8" Type="http://schemas.openxmlformats.org/officeDocument/2006/relationships/image" Target="../media/image55.png"/><Relationship Id="rId3" Type="http://schemas.openxmlformats.org/officeDocument/2006/relationships/customXml" Target="../ink/ink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119414</xdr:rowOff>
    </xdr:from>
    <xdr:to>
      <xdr:col>11</xdr:col>
      <xdr:colOff>360</xdr:colOff>
      <xdr:row>1</xdr:row>
      <xdr:rowOff>119774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B6B4574-979A-9F54-1995-63B2C92FD6D1}"/>
                </a:ext>
              </a:extLst>
            </xdr14:cNvPr>
            <xdr14:cNvContentPartPr/>
          </xdr14:nvContentPartPr>
          <xdr14:nvPr macro=""/>
          <xdr14:xfrm>
            <a:off x="18462600" y="321120"/>
            <a:ext cx="360" cy="360"/>
          </xdr14:xfrm>
        </xdr:contentPart>
      </mc:Choice>
      <mc:Fallback xmlns="">
        <xdr:pic>
          <xdr:nvPicPr>
            <xdr:cNvPr id="73" name="Tinta 72">
              <a:extLst>
                <a:ext uri="{FF2B5EF4-FFF2-40B4-BE49-F238E27FC236}">
                  <a16:creationId xmlns:a16="http://schemas.microsoft.com/office/drawing/2014/main" id="{BB6B4574-979A-9F54-1995-63B2C92FD6D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8453600" y="31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1019462</xdr:colOff>
      <xdr:row>19</xdr:row>
      <xdr:rowOff>12269</xdr:rowOff>
    </xdr:from>
    <xdr:to>
      <xdr:col>5</xdr:col>
      <xdr:colOff>1016024</xdr:colOff>
      <xdr:row>22</xdr:row>
      <xdr:rowOff>1076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F18776BB-AEB1-7927-14DD-8322583280DE}"/>
                </a:ext>
              </a:extLst>
            </xdr14:cNvPr>
            <xdr14:cNvContentPartPr/>
          </xdr14:nvContentPartPr>
          <xdr14:nvPr macro=""/>
          <xdr14:xfrm>
            <a:off x="4674240" y="3899880"/>
            <a:ext cx="1428840" cy="60264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F18776BB-AEB1-7927-14DD-8322583280D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665600" y="3891240"/>
              <a:ext cx="1446480" cy="62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1007942</xdr:colOff>
      <xdr:row>16</xdr:row>
      <xdr:rowOff>163142</xdr:rowOff>
    </xdr:from>
    <xdr:to>
      <xdr:col>6</xdr:col>
      <xdr:colOff>410353</xdr:colOff>
      <xdr:row>26</xdr:row>
      <xdr:rowOff>165431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9272FDD5-DD74-EBEE-DECA-9266CFEB2382}"/>
                </a:ext>
              </a:extLst>
            </xdr14:cNvPr>
            <xdr14:cNvContentPartPr/>
          </xdr14:nvContentPartPr>
          <xdr14:nvPr macro=""/>
          <xdr14:xfrm>
            <a:off x="4662720" y="3436920"/>
            <a:ext cx="1864800" cy="2048400"/>
          </xdr14:xfrm>
        </xdr:contentPart>
      </mc:Choice>
      <mc:Fallback xmlns="">
        <xdr:pic>
          <xdr:nvPicPr>
            <xdr:cNvPr id="14" name="Tinta 13">
              <a:extLst>
                <a:ext uri="{FF2B5EF4-FFF2-40B4-BE49-F238E27FC236}">
                  <a16:creationId xmlns:a16="http://schemas.microsoft.com/office/drawing/2014/main" id="{9272FDD5-DD74-EBEE-DECA-9266CFEB238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653720" y="3427920"/>
              <a:ext cx="1882440" cy="20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820393</xdr:colOff>
      <xdr:row>17</xdr:row>
      <xdr:rowOff>7131</xdr:rowOff>
    </xdr:from>
    <xdr:to>
      <xdr:col>7</xdr:col>
      <xdr:colOff>482562</xdr:colOff>
      <xdr:row>18</xdr:row>
      <xdr:rowOff>55600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DF69385F-4736-1060-A6E3-F45108845FFC}"/>
                </a:ext>
              </a:extLst>
            </xdr14:cNvPr>
            <xdr14:cNvContentPartPr/>
          </xdr14:nvContentPartPr>
          <xdr14:nvPr macro=""/>
          <xdr14:xfrm>
            <a:off x="6937560" y="3485520"/>
            <a:ext cx="692280" cy="253080"/>
          </xdr14:xfrm>
        </xdr:contentPart>
      </mc:Choice>
      <mc:Fallback xmlns="">
        <xdr:pic>
          <xdr:nvPicPr>
            <xdr:cNvPr id="23" name="Tinta 22">
              <a:extLst>
                <a:ext uri="{FF2B5EF4-FFF2-40B4-BE49-F238E27FC236}">
                  <a16:creationId xmlns:a16="http://schemas.microsoft.com/office/drawing/2014/main" id="{DF69385F-4736-1060-A6E3-F45108845FF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928924" y="3476880"/>
              <a:ext cx="709911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622962</xdr:colOff>
      <xdr:row>16</xdr:row>
      <xdr:rowOff>27062</xdr:rowOff>
    </xdr:from>
    <xdr:to>
      <xdr:col>8</xdr:col>
      <xdr:colOff>809062</xdr:colOff>
      <xdr:row>17</xdr:row>
      <xdr:rowOff>128451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36F5C612-D4D9-84D3-9B9D-160D750FA0C7}"/>
                </a:ext>
              </a:extLst>
            </xdr14:cNvPr>
            <xdr14:cNvContentPartPr/>
          </xdr14:nvContentPartPr>
          <xdr14:nvPr macro=""/>
          <xdr14:xfrm>
            <a:off x="7770240" y="3300840"/>
            <a:ext cx="1011600" cy="306000"/>
          </xdr14:xfrm>
        </xdr:contentPart>
      </mc:Choice>
      <mc:Fallback xmlns="">
        <xdr:pic>
          <xdr:nvPicPr>
            <xdr:cNvPr id="33" name="Tinta 32">
              <a:extLst>
                <a:ext uri="{FF2B5EF4-FFF2-40B4-BE49-F238E27FC236}">
                  <a16:creationId xmlns:a16="http://schemas.microsoft.com/office/drawing/2014/main" id="{36F5C612-D4D9-84D3-9B9D-160D750FA0C7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7761603" y="3292200"/>
              <a:ext cx="1029234" cy="32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720313</xdr:colOff>
      <xdr:row>19</xdr:row>
      <xdr:rowOff>50069</xdr:rowOff>
    </xdr:from>
    <xdr:to>
      <xdr:col>7</xdr:col>
      <xdr:colOff>820962</xdr:colOff>
      <xdr:row>21</xdr:row>
      <xdr:rowOff>13807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6" name="Tinta 45">
              <a:extLst>
                <a:ext uri="{FF2B5EF4-FFF2-40B4-BE49-F238E27FC236}">
                  <a16:creationId xmlns:a16="http://schemas.microsoft.com/office/drawing/2014/main" id="{82B6BEB0-BE95-27CF-A542-36AD5914BC1A}"/>
                </a:ext>
              </a:extLst>
            </xdr14:cNvPr>
            <xdr14:cNvContentPartPr/>
          </xdr14:nvContentPartPr>
          <xdr14:nvPr macro=""/>
          <xdr14:xfrm>
            <a:off x="6837480" y="3937680"/>
            <a:ext cx="1130760" cy="372960"/>
          </xdr14:xfrm>
        </xdr:contentPart>
      </mc:Choice>
      <mc:Fallback xmlns="">
        <xdr:pic>
          <xdr:nvPicPr>
            <xdr:cNvPr id="46" name="Tinta 45">
              <a:extLst>
                <a:ext uri="{FF2B5EF4-FFF2-40B4-BE49-F238E27FC236}">
                  <a16:creationId xmlns:a16="http://schemas.microsoft.com/office/drawing/2014/main" id="{82B6BEB0-BE95-27CF-A542-36AD5914BC1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828840" y="3929040"/>
              <a:ext cx="1148400" cy="39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126862</xdr:colOff>
      <xdr:row>19</xdr:row>
      <xdr:rowOff>14789</xdr:rowOff>
    </xdr:from>
    <xdr:to>
      <xdr:col>9</xdr:col>
      <xdr:colOff>399724</xdr:colOff>
      <xdr:row>21</xdr:row>
      <xdr:rowOff>47647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4B4CC6CF-0208-1F1E-1F3F-2E1C76D03515}"/>
                </a:ext>
              </a:extLst>
            </xdr14:cNvPr>
            <xdr14:cNvContentPartPr/>
          </xdr14:nvContentPartPr>
          <xdr14:nvPr macro=""/>
          <xdr14:xfrm>
            <a:off x="8099640" y="3902400"/>
            <a:ext cx="1133640" cy="442080"/>
          </xdr14:xfrm>
        </xdr:contentPart>
      </mc:Choice>
      <mc:Fallback xmlns="">
        <xdr:pic>
          <xdr:nvPicPr>
            <xdr:cNvPr id="60" name="Tinta 59">
              <a:extLst>
                <a:ext uri="{FF2B5EF4-FFF2-40B4-BE49-F238E27FC236}">
                  <a16:creationId xmlns:a16="http://schemas.microsoft.com/office/drawing/2014/main" id="{4B4CC6CF-0208-1F1E-1F3F-2E1C76D0351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8091000" y="3893400"/>
              <a:ext cx="1151280" cy="45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602582</xdr:colOff>
      <xdr:row>22</xdr:row>
      <xdr:rowOff>86396</xdr:rowOff>
    </xdr:from>
    <xdr:to>
      <xdr:col>4</xdr:col>
      <xdr:colOff>837662</xdr:colOff>
      <xdr:row>23</xdr:row>
      <xdr:rowOff>82664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A8D3B072-A879-EB96-9123-E84D6F72EA8F}"/>
                </a:ext>
              </a:extLst>
            </xdr14:cNvPr>
            <xdr14:cNvContentPartPr/>
          </xdr14:nvContentPartPr>
          <xdr14:nvPr macro=""/>
          <xdr14:xfrm>
            <a:off x="4257360" y="4587840"/>
            <a:ext cx="235080" cy="200880"/>
          </xdr14:xfrm>
        </xdr:contentPart>
      </mc:Choice>
      <mc:Fallback xmlns="">
        <xdr:pic>
          <xdr:nvPicPr>
            <xdr:cNvPr id="66" name="Tinta 65">
              <a:extLst>
                <a:ext uri="{FF2B5EF4-FFF2-40B4-BE49-F238E27FC236}">
                  <a16:creationId xmlns:a16="http://schemas.microsoft.com/office/drawing/2014/main" id="{A8D3B072-A879-EB96-9123-E84D6F72EA8F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248374" y="4578840"/>
              <a:ext cx="252693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431007</xdr:colOff>
      <xdr:row>9</xdr:row>
      <xdr:rowOff>124100</xdr:rowOff>
    </xdr:from>
    <xdr:to>
      <xdr:col>11</xdr:col>
      <xdr:colOff>532887</xdr:colOff>
      <xdr:row>10</xdr:row>
      <xdr:rowOff>179409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2FE5D653-8A2D-7218-07BE-FADB7A3DD7B3}"/>
                </a:ext>
              </a:extLst>
            </xdr14:cNvPr>
            <xdr14:cNvContentPartPr/>
          </xdr14:nvContentPartPr>
          <xdr14:nvPr macro=""/>
          <xdr14:xfrm>
            <a:off x="10950840" y="1965600"/>
            <a:ext cx="101880" cy="259920"/>
          </xdr14:xfrm>
        </xdr:contentPart>
      </mc:Choice>
      <mc:Fallback xmlns="">
        <xdr:pic>
          <xdr:nvPicPr>
            <xdr:cNvPr id="67" name="Tinta 66">
              <a:extLst>
                <a:ext uri="{FF2B5EF4-FFF2-40B4-BE49-F238E27FC236}">
                  <a16:creationId xmlns:a16="http://schemas.microsoft.com/office/drawing/2014/main" id="{2FE5D653-8A2D-7218-07BE-FADB7A3DD7B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0942200" y="1956600"/>
              <a:ext cx="119520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450447</xdr:colOff>
      <xdr:row>8</xdr:row>
      <xdr:rowOff>124591</xdr:rowOff>
    </xdr:from>
    <xdr:to>
      <xdr:col>11</xdr:col>
      <xdr:colOff>552687</xdr:colOff>
      <xdr:row>9</xdr:row>
      <xdr:rowOff>18260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DF1547ED-FB92-273D-3613-D88C4AC760C4}"/>
                </a:ext>
              </a:extLst>
            </xdr14:cNvPr>
            <xdr14:cNvContentPartPr/>
          </xdr14:nvContentPartPr>
          <xdr14:nvPr macro=""/>
          <xdr14:xfrm>
            <a:off x="10970280" y="1761480"/>
            <a:ext cx="102240" cy="98280"/>
          </xdr14:xfrm>
        </xdr:contentPart>
      </mc:Choice>
      <mc:Fallback xmlns="">
        <xdr:pic>
          <xdr:nvPicPr>
            <xdr:cNvPr id="68" name="Tinta 67">
              <a:extLst>
                <a:ext uri="{FF2B5EF4-FFF2-40B4-BE49-F238E27FC236}">
                  <a16:creationId xmlns:a16="http://schemas.microsoft.com/office/drawing/2014/main" id="{DF1547ED-FB92-273D-3613-D88C4AC760C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0961280" y="1752840"/>
              <a:ext cx="11988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637647</xdr:colOff>
      <xdr:row>10</xdr:row>
      <xdr:rowOff>82209</xdr:rowOff>
    </xdr:from>
    <xdr:to>
      <xdr:col>11</xdr:col>
      <xdr:colOff>695607</xdr:colOff>
      <xdr:row>10</xdr:row>
      <xdr:rowOff>112089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71" name="Tinta 70">
              <a:extLst>
                <a:ext uri="{FF2B5EF4-FFF2-40B4-BE49-F238E27FC236}">
                  <a16:creationId xmlns:a16="http://schemas.microsoft.com/office/drawing/2014/main" id="{8A5750B4-D1ED-DDC2-BE90-F58BF614C897}"/>
                </a:ext>
              </a:extLst>
            </xdr14:cNvPr>
            <xdr14:cNvContentPartPr/>
          </xdr14:nvContentPartPr>
          <xdr14:nvPr macro=""/>
          <xdr14:xfrm>
            <a:off x="11157480" y="2128320"/>
            <a:ext cx="57960" cy="29880"/>
          </xdr14:xfrm>
        </xdr:contentPart>
      </mc:Choice>
      <mc:Fallback xmlns="">
        <xdr:pic>
          <xdr:nvPicPr>
            <xdr:cNvPr id="71" name="Tinta 70">
              <a:extLst>
                <a:ext uri="{FF2B5EF4-FFF2-40B4-BE49-F238E27FC236}">
                  <a16:creationId xmlns:a16="http://schemas.microsoft.com/office/drawing/2014/main" id="{8A5750B4-D1ED-DDC2-BE90-F58BF614C89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1148840" y="2119320"/>
              <a:ext cx="7560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404727</xdr:colOff>
      <xdr:row>8</xdr:row>
      <xdr:rowOff>60511</xdr:rowOff>
    </xdr:from>
    <xdr:to>
      <xdr:col>11</xdr:col>
      <xdr:colOff>587967</xdr:colOff>
      <xdr:row>8</xdr:row>
      <xdr:rowOff>60871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72" name="Tinta 71">
              <a:extLst>
                <a:ext uri="{FF2B5EF4-FFF2-40B4-BE49-F238E27FC236}">
                  <a16:creationId xmlns:a16="http://schemas.microsoft.com/office/drawing/2014/main" id="{EF2E1F7D-4069-15F6-615E-2D282ECC323D}"/>
                </a:ext>
              </a:extLst>
            </xdr14:cNvPr>
            <xdr14:cNvContentPartPr/>
          </xdr14:nvContentPartPr>
          <xdr14:nvPr macro=""/>
          <xdr14:xfrm>
            <a:off x="10924560" y="1697400"/>
            <a:ext cx="183240" cy="360"/>
          </xdr14:xfrm>
        </xdr:contentPart>
      </mc:Choice>
      <mc:Fallback xmlns="">
        <xdr:pic>
          <xdr:nvPicPr>
            <xdr:cNvPr id="72" name="Tinta 71">
              <a:extLst>
                <a:ext uri="{FF2B5EF4-FFF2-40B4-BE49-F238E27FC236}">
                  <a16:creationId xmlns:a16="http://schemas.microsoft.com/office/drawing/2014/main" id="{EF2E1F7D-4069-15F6-615E-2D282ECC323D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0915560" y="1688760"/>
              <a:ext cx="200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41467</xdr:colOff>
      <xdr:row>8</xdr:row>
      <xdr:rowOff>131431</xdr:rowOff>
    </xdr:from>
    <xdr:to>
      <xdr:col>13</xdr:col>
      <xdr:colOff>565967</xdr:colOff>
      <xdr:row>11</xdr:row>
      <xdr:rowOff>7558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97" name="Tinta 96">
              <a:extLst>
                <a:ext uri="{FF2B5EF4-FFF2-40B4-BE49-F238E27FC236}">
                  <a16:creationId xmlns:a16="http://schemas.microsoft.com/office/drawing/2014/main" id="{481CA05F-EA38-5477-5085-36FC7D89AF12}"/>
                </a:ext>
              </a:extLst>
            </xdr14:cNvPr>
            <xdr14:cNvContentPartPr/>
          </xdr14:nvContentPartPr>
          <xdr14:nvPr macro=""/>
          <xdr14:xfrm>
            <a:off x="11386800" y="1768320"/>
            <a:ext cx="1350000" cy="489960"/>
          </xdr14:xfrm>
        </xdr:contentPart>
      </mc:Choice>
      <mc:Fallback xmlns="">
        <xdr:pic>
          <xdr:nvPicPr>
            <xdr:cNvPr id="97" name="Tinta 96">
              <a:extLst>
                <a:ext uri="{FF2B5EF4-FFF2-40B4-BE49-F238E27FC236}">
                  <a16:creationId xmlns:a16="http://schemas.microsoft.com/office/drawing/2014/main" id="{481CA05F-EA38-5477-5085-36FC7D89AF1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1377800" y="1759320"/>
              <a:ext cx="1367640" cy="50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636547</xdr:colOff>
      <xdr:row>11</xdr:row>
      <xdr:rowOff>99718</xdr:rowOff>
    </xdr:from>
    <xdr:to>
      <xdr:col>12</xdr:col>
      <xdr:colOff>709267</xdr:colOff>
      <xdr:row>12</xdr:row>
      <xdr:rowOff>9947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98" name="Tinta 97">
              <a:extLst>
                <a:ext uri="{FF2B5EF4-FFF2-40B4-BE49-F238E27FC236}">
                  <a16:creationId xmlns:a16="http://schemas.microsoft.com/office/drawing/2014/main" id="{FAF7C078-FF61-4310-F03E-706D11D334DE}"/>
                </a:ext>
              </a:extLst>
            </xdr14:cNvPr>
            <xdr14:cNvContentPartPr/>
          </xdr14:nvContentPartPr>
          <xdr14:nvPr macro=""/>
          <xdr14:xfrm>
            <a:off x="11981880" y="2350440"/>
            <a:ext cx="72720" cy="114840"/>
          </xdr14:xfrm>
        </xdr:contentPart>
      </mc:Choice>
      <mc:Fallback xmlns="">
        <xdr:pic>
          <xdr:nvPicPr>
            <xdr:cNvPr id="98" name="Tinta 97">
              <a:extLst>
                <a:ext uri="{FF2B5EF4-FFF2-40B4-BE49-F238E27FC236}">
                  <a16:creationId xmlns:a16="http://schemas.microsoft.com/office/drawing/2014/main" id="{FAF7C078-FF61-4310-F03E-706D11D334DE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972880" y="2341440"/>
              <a:ext cx="9036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668967</xdr:colOff>
      <xdr:row>12</xdr:row>
      <xdr:rowOff>156107</xdr:rowOff>
    </xdr:from>
    <xdr:to>
      <xdr:col>11</xdr:col>
      <xdr:colOff>743487</xdr:colOff>
      <xdr:row>13</xdr:row>
      <xdr:rowOff>15936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01" name="Tinta 100">
              <a:extLst>
                <a:ext uri="{FF2B5EF4-FFF2-40B4-BE49-F238E27FC236}">
                  <a16:creationId xmlns:a16="http://schemas.microsoft.com/office/drawing/2014/main" id="{C88216C2-4B60-E0D1-917A-6E6DF8F2F77A}"/>
                </a:ext>
              </a:extLst>
            </xdr14:cNvPr>
            <xdr14:cNvContentPartPr/>
          </xdr14:nvContentPartPr>
          <xdr14:nvPr macro=""/>
          <xdr14:xfrm>
            <a:off x="11188800" y="2611440"/>
            <a:ext cx="74520" cy="64440"/>
          </xdr14:xfrm>
        </xdr:contentPart>
      </mc:Choice>
      <mc:Fallback xmlns="">
        <xdr:pic>
          <xdr:nvPicPr>
            <xdr:cNvPr id="101" name="Tinta 100">
              <a:extLst>
                <a:ext uri="{FF2B5EF4-FFF2-40B4-BE49-F238E27FC236}">
                  <a16:creationId xmlns:a16="http://schemas.microsoft.com/office/drawing/2014/main" id="{C88216C2-4B60-E0D1-917A-6E6DF8F2F77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1180160" y="2602440"/>
              <a:ext cx="9216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495807</xdr:colOff>
      <xdr:row>13</xdr:row>
      <xdr:rowOff>110256</xdr:rowOff>
    </xdr:from>
    <xdr:to>
      <xdr:col>12</xdr:col>
      <xdr:colOff>277267</xdr:colOff>
      <xdr:row>14</xdr:row>
      <xdr:rowOff>172404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07" name="Tinta 106">
              <a:extLst>
                <a:ext uri="{FF2B5EF4-FFF2-40B4-BE49-F238E27FC236}">
                  <a16:creationId xmlns:a16="http://schemas.microsoft.com/office/drawing/2014/main" id="{0CB01D9E-F707-08FA-4A71-67B7CA23DEDA}"/>
                </a:ext>
              </a:extLst>
            </xdr14:cNvPr>
            <xdr14:cNvContentPartPr/>
          </xdr14:nvContentPartPr>
          <xdr14:nvPr macro=""/>
          <xdr14:xfrm>
            <a:off x="11015640" y="2770200"/>
            <a:ext cx="606960" cy="266760"/>
          </xdr14:xfrm>
        </xdr:contentPart>
      </mc:Choice>
      <mc:Fallback xmlns="">
        <xdr:pic>
          <xdr:nvPicPr>
            <xdr:cNvPr id="107" name="Tinta 106">
              <a:extLst>
                <a:ext uri="{FF2B5EF4-FFF2-40B4-BE49-F238E27FC236}">
                  <a16:creationId xmlns:a16="http://schemas.microsoft.com/office/drawing/2014/main" id="{0CB01D9E-F707-08FA-4A71-67B7CA23DEDA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1007000" y="2761560"/>
              <a:ext cx="62460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667167</xdr:colOff>
      <xdr:row>14</xdr:row>
      <xdr:rowOff>179964</xdr:rowOff>
    </xdr:from>
    <xdr:to>
      <xdr:col>11</xdr:col>
      <xdr:colOff>720087</xdr:colOff>
      <xdr:row>15</xdr:row>
      <xdr:rowOff>106393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08" name="Tinta 107">
              <a:extLst>
                <a:ext uri="{FF2B5EF4-FFF2-40B4-BE49-F238E27FC236}">
                  <a16:creationId xmlns:a16="http://schemas.microsoft.com/office/drawing/2014/main" id="{92EB4167-E581-BCD1-741A-274CEB37BD96}"/>
                </a:ext>
              </a:extLst>
            </xdr14:cNvPr>
            <xdr14:cNvContentPartPr/>
          </xdr14:nvContentPartPr>
          <xdr14:nvPr macro=""/>
          <xdr14:xfrm>
            <a:off x="11187000" y="3044520"/>
            <a:ext cx="52920" cy="131040"/>
          </xdr14:xfrm>
        </xdr:contentPart>
      </mc:Choice>
      <mc:Fallback xmlns="">
        <xdr:pic>
          <xdr:nvPicPr>
            <xdr:cNvPr id="108" name="Tinta 107">
              <a:extLst>
                <a:ext uri="{FF2B5EF4-FFF2-40B4-BE49-F238E27FC236}">
                  <a16:creationId xmlns:a16="http://schemas.microsoft.com/office/drawing/2014/main" id="{92EB4167-E581-BCD1-741A-274CEB37BD96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1178000" y="3035880"/>
              <a:ext cx="7056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449707</xdr:colOff>
      <xdr:row>13</xdr:row>
      <xdr:rowOff>456</xdr:rowOff>
    </xdr:from>
    <xdr:to>
      <xdr:col>12</xdr:col>
      <xdr:colOff>727267</xdr:colOff>
      <xdr:row>14</xdr:row>
      <xdr:rowOff>176004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13" name="Tinta 112">
              <a:extLst>
                <a:ext uri="{FF2B5EF4-FFF2-40B4-BE49-F238E27FC236}">
                  <a16:creationId xmlns:a16="http://schemas.microsoft.com/office/drawing/2014/main" id="{E8B93BE0-9BF8-EDF6-3372-29523DDE6C11}"/>
                </a:ext>
              </a:extLst>
            </xdr14:cNvPr>
            <xdr14:cNvContentPartPr/>
          </xdr14:nvContentPartPr>
          <xdr14:nvPr macro=""/>
          <xdr14:xfrm>
            <a:off x="11795040" y="2660400"/>
            <a:ext cx="277560" cy="380160"/>
          </xdr14:xfrm>
        </xdr:contentPart>
      </mc:Choice>
      <mc:Fallback xmlns="">
        <xdr:pic>
          <xdr:nvPicPr>
            <xdr:cNvPr id="113" name="Tinta 112">
              <a:extLst>
                <a:ext uri="{FF2B5EF4-FFF2-40B4-BE49-F238E27FC236}">
                  <a16:creationId xmlns:a16="http://schemas.microsoft.com/office/drawing/2014/main" id="{E8B93BE0-9BF8-EDF6-3372-29523DDE6C11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1786389" y="2651400"/>
              <a:ext cx="295223" cy="39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308247</xdr:colOff>
      <xdr:row>16</xdr:row>
      <xdr:rowOff>42902</xdr:rowOff>
    </xdr:from>
    <xdr:to>
      <xdr:col>13</xdr:col>
      <xdr:colOff>349607</xdr:colOff>
      <xdr:row>18</xdr:row>
      <xdr:rowOff>84400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33" name="Tinta 132">
              <a:extLst>
                <a:ext uri="{FF2B5EF4-FFF2-40B4-BE49-F238E27FC236}">
                  <a16:creationId xmlns:a16="http://schemas.microsoft.com/office/drawing/2014/main" id="{DC82B6B1-6F10-EF31-F665-59036877DB5A}"/>
                </a:ext>
              </a:extLst>
            </xdr14:cNvPr>
            <xdr14:cNvContentPartPr/>
          </xdr14:nvContentPartPr>
          <xdr14:nvPr macro=""/>
          <xdr14:xfrm>
            <a:off x="10828080" y="3316680"/>
            <a:ext cx="1692360" cy="450720"/>
          </xdr14:xfrm>
        </xdr:contentPart>
      </mc:Choice>
      <mc:Fallback xmlns="">
        <xdr:pic>
          <xdr:nvPicPr>
            <xdr:cNvPr id="133" name="Tinta 132">
              <a:extLst>
                <a:ext uri="{FF2B5EF4-FFF2-40B4-BE49-F238E27FC236}">
                  <a16:creationId xmlns:a16="http://schemas.microsoft.com/office/drawing/2014/main" id="{DC82B6B1-6F10-EF31-F665-59036877DB5A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0819082" y="3307680"/>
              <a:ext cx="1709996" cy="4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371607</xdr:colOff>
      <xdr:row>19</xdr:row>
      <xdr:rowOff>126749</xdr:rowOff>
    </xdr:from>
    <xdr:to>
      <xdr:col>11</xdr:col>
      <xdr:colOff>504447</xdr:colOff>
      <xdr:row>20</xdr:row>
      <xdr:rowOff>130578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39" name="Tinta 138">
              <a:extLst>
                <a:ext uri="{FF2B5EF4-FFF2-40B4-BE49-F238E27FC236}">
                  <a16:creationId xmlns:a16="http://schemas.microsoft.com/office/drawing/2014/main" id="{75AF3FDC-41EE-39C6-F34A-16DD185045C7}"/>
                </a:ext>
              </a:extLst>
            </xdr14:cNvPr>
            <xdr14:cNvContentPartPr/>
          </xdr14:nvContentPartPr>
          <xdr14:nvPr macro=""/>
          <xdr14:xfrm>
            <a:off x="10891440" y="4014360"/>
            <a:ext cx="132840" cy="208440"/>
          </xdr14:xfrm>
        </xdr:contentPart>
      </mc:Choice>
      <mc:Fallback xmlns="">
        <xdr:pic>
          <xdr:nvPicPr>
            <xdr:cNvPr id="139" name="Tinta 138">
              <a:extLst>
                <a:ext uri="{FF2B5EF4-FFF2-40B4-BE49-F238E27FC236}">
                  <a16:creationId xmlns:a16="http://schemas.microsoft.com/office/drawing/2014/main" id="{75AF3FDC-41EE-39C6-F34A-16DD185045C7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0882800" y="4005720"/>
              <a:ext cx="15048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519567</xdr:colOff>
      <xdr:row>19</xdr:row>
      <xdr:rowOff>122069</xdr:rowOff>
    </xdr:from>
    <xdr:to>
      <xdr:col>11</xdr:col>
      <xdr:colOff>788127</xdr:colOff>
      <xdr:row>21</xdr:row>
      <xdr:rowOff>33967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45" name="Tinta 144">
              <a:extLst>
                <a:ext uri="{FF2B5EF4-FFF2-40B4-BE49-F238E27FC236}">
                  <a16:creationId xmlns:a16="http://schemas.microsoft.com/office/drawing/2014/main" id="{BF877108-4159-7243-563E-7E971F26A686}"/>
                </a:ext>
              </a:extLst>
            </xdr14:cNvPr>
            <xdr14:cNvContentPartPr/>
          </xdr14:nvContentPartPr>
          <xdr14:nvPr macro=""/>
          <xdr14:xfrm>
            <a:off x="11039400" y="4009680"/>
            <a:ext cx="268560" cy="321120"/>
          </xdr14:xfrm>
        </xdr:contentPart>
      </mc:Choice>
      <mc:Fallback xmlns="">
        <xdr:pic>
          <xdr:nvPicPr>
            <xdr:cNvPr id="145" name="Tinta 144">
              <a:extLst>
                <a:ext uri="{FF2B5EF4-FFF2-40B4-BE49-F238E27FC236}">
                  <a16:creationId xmlns:a16="http://schemas.microsoft.com/office/drawing/2014/main" id="{BF877108-4159-7243-563E-7E971F26A686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1030760" y="4001040"/>
              <a:ext cx="286200" cy="33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3647</xdr:colOff>
      <xdr:row>19</xdr:row>
      <xdr:rowOff>115589</xdr:rowOff>
    </xdr:from>
    <xdr:to>
      <xdr:col>13</xdr:col>
      <xdr:colOff>261407</xdr:colOff>
      <xdr:row>20</xdr:row>
      <xdr:rowOff>153618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55" name="Tinta 154">
              <a:extLst>
                <a:ext uri="{FF2B5EF4-FFF2-40B4-BE49-F238E27FC236}">
                  <a16:creationId xmlns:a16="http://schemas.microsoft.com/office/drawing/2014/main" id="{DE7ECDEA-08B3-6156-6527-2EE52C89CA1A}"/>
                </a:ext>
              </a:extLst>
            </xdr14:cNvPr>
            <xdr14:cNvContentPartPr/>
          </xdr14:nvContentPartPr>
          <xdr14:nvPr macro=""/>
          <xdr14:xfrm>
            <a:off x="12174480" y="4003200"/>
            <a:ext cx="257760" cy="242640"/>
          </xdr14:xfrm>
        </xdr:contentPart>
      </mc:Choice>
      <mc:Fallback xmlns="">
        <xdr:pic>
          <xdr:nvPicPr>
            <xdr:cNvPr id="155" name="Tinta 154">
              <a:extLst>
                <a:ext uri="{FF2B5EF4-FFF2-40B4-BE49-F238E27FC236}">
                  <a16:creationId xmlns:a16="http://schemas.microsoft.com/office/drawing/2014/main" id="{DE7ECDEA-08B3-6156-6527-2EE52C89CA1A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2165840" y="3994560"/>
              <a:ext cx="27540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29587</xdr:colOff>
      <xdr:row>19</xdr:row>
      <xdr:rowOff>42149</xdr:rowOff>
    </xdr:from>
    <xdr:to>
      <xdr:col>12</xdr:col>
      <xdr:colOff>535027</xdr:colOff>
      <xdr:row>20</xdr:row>
      <xdr:rowOff>121218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56" name="Tinta 155">
              <a:extLst>
                <a:ext uri="{FF2B5EF4-FFF2-40B4-BE49-F238E27FC236}">
                  <a16:creationId xmlns:a16="http://schemas.microsoft.com/office/drawing/2014/main" id="{5898B953-9B8A-8A97-77C0-B7895765B7FF}"/>
                </a:ext>
              </a:extLst>
            </xdr14:cNvPr>
            <xdr14:cNvContentPartPr/>
          </xdr14:nvContentPartPr>
          <xdr14:nvPr macro=""/>
          <xdr14:xfrm>
            <a:off x="11374920" y="3929760"/>
            <a:ext cx="505440" cy="283680"/>
          </xdr14:xfrm>
        </xdr:contentPart>
      </mc:Choice>
      <mc:Fallback xmlns="">
        <xdr:pic>
          <xdr:nvPicPr>
            <xdr:cNvPr id="156" name="Tinta 155">
              <a:extLst>
                <a:ext uri="{FF2B5EF4-FFF2-40B4-BE49-F238E27FC236}">
                  <a16:creationId xmlns:a16="http://schemas.microsoft.com/office/drawing/2014/main" id="{5898B953-9B8A-8A97-77C0-B7895765B7FF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1365926" y="3921120"/>
              <a:ext cx="523067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317927</xdr:colOff>
      <xdr:row>20</xdr:row>
      <xdr:rowOff>34818</xdr:rowOff>
    </xdr:from>
    <xdr:to>
      <xdr:col>13</xdr:col>
      <xdr:colOff>420167</xdr:colOff>
      <xdr:row>20</xdr:row>
      <xdr:rowOff>198258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59" name="Tinta 158">
              <a:extLst>
                <a:ext uri="{FF2B5EF4-FFF2-40B4-BE49-F238E27FC236}">
                  <a16:creationId xmlns:a16="http://schemas.microsoft.com/office/drawing/2014/main" id="{12960656-072D-A484-2361-6BDF2B0254DA}"/>
                </a:ext>
              </a:extLst>
            </xdr14:cNvPr>
            <xdr14:cNvContentPartPr/>
          </xdr14:nvContentPartPr>
          <xdr14:nvPr macro=""/>
          <xdr14:xfrm>
            <a:off x="12488760" y="4127040"/>
            <a:ext cx="102240" cy="163440"/>
          </xdr14:xfrm>
        </xdr:contentPart>
      </mc:Choice>
      <mc:Fallback xmlns="">
        <xdr:pic>
          <xdr:nvPicPr>
            <xdr:cNvPr id="159" name="Tinta 158">
              <a:extLst>
                <a:ext uri="{FF2B5EF4-FFF2-40B4-BE49-F238E27FC236}">
                  <a16:creationId xmlns:a16="http://schemas.microsoft.com/office/drawing/2014/main" id="{12960656-072D-A484-2361-6BDF2B0254D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2479792" y="4118040"/>
              <a:ext cx="119818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423447</xdr:colOff>
      <xdr:row>21</xdr:row>
      <xdr:rowOff>161047</xdr:rowOff>
    </xdr:from>
    <xdr:to>
      <xdr:col>13</xdr:col>
      <xdr:colOff>473447</xdr:colOff>
      <xdr:row>21</xdr:row>
      <xdr:rowOff>161407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60" name="Tinta 159">
              <a:extLst>
                <a:ext uri="{FF2B5EF4-FFF2-40B4-BE49-F238E27FC236}">
                  <a16:creationId xmlns:a16="http://schemas.microsoft.com/office/drawing/2014/main" id="{90F14BFB-90F9-F2C0-CFE9-8C0823B9C84B}"/>
                </a:ext>
              </a:extLst>
            </xdr14:cNvPr>
            <xdr14:cNvContentPartPr/>
          </xdr14:nvContentPartPr>
          <xdr14:nvPr macro=""/>
          <xdr14:xfrm>
            <a:off x="10943280" y="4457880"/>
            <a:ext cx="1701000" cy="360"/>
          </xdr14:xfrm>
        </xdr:contentPart>
      </mc:Choice>
      <mc:Fallback xmlns="">
        <xdr:pic>
          <xdr:nvPicPr>
            <xdr:cNvPr id="160" name="Tinta 159">
              <a:extLst>
                <a:ext uri="{FF2B5EF4-FFF2-40B4-BE49-F238E27FC236}">
                  <a16:creationId xmlns:a16="http://schemas.microsoft.com/office/drawing/2014/main" id="{90F14BFB-90F9-F2C0-CFE9-8C0823B9C84B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0934280" y="4448880"/>
              <a:ext cx="17186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216142</xdr:colOff>
      <xdr:row>23</xdr:row>
      <xdr:rowOff>43784</xdr:rowOff>
    </xdr:from>
    <xdr:to>
      <xdr:col>8</xdr:col>
      <xdr:colOff>437542</xdr:colOff>
      <xdr:row>24</xdr:row>
      <xdr:rowOff>52293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81" name="Tinta 180">
              <a:extLst>
                <a:ext uri="{FF2B5EF4-FFF2-40B4-BE49-F238E27FC236}">
                  <a16:creationId xmlns:a16="http://schemas.microsoft.com/office/drawing/2014/main" id="{0EFA29FF-F468-DDDE-5C18-3944E6DE736E}"/>
                </a:ext>
              </a:extLst>
            </xdr14:cNvPr>
            <xdr14:cNvContentPartPr/>
          </xdr14:nvContentPartPr>
          <xdr14:nvPr macro=""/>
          <xdr14:xfrm>
            <a:off x="8188920" y="4749840"/>
            <a:ext cx="221400" cy="213120"/>
          </xdr14:xfrm>
        </xdr:contentPart>
      </mc:Choice>
      <mc:Fallback xmlns="">
        <xdr:pic>
          <xdr:nvPicPr>
            <xdr:cNvPr id="181" name="Tinta 180">
              <a:extLst>
                <a:ext uri="{FF2B5EF4-FFF2-40B4-BE49-F238E27FC236}">
                  <a16:creationId xmlns:a16="http://schemas.microsoft.com/office/drawing/2014/main" id="{0EFA29FF-F468-DDDE-5C18-3944E6DE736E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8179920" y="4740840"/>
              <a:ext cx="23904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727873</xdr:colOff>
      <xdr:row>22</xdr:row>
      <xdr:rowOff>84236</xdr:rowOff>
    </xdr:from>
    <xdr:to>
      <xdr:col>7</xdr:col>
      <xdr:colOff>782802</xdr:colOff>
      <xdr:row>24</xdr:row>
      <xdr:rowOff>73173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82" name="Tinta 181">
              <a:extLst>
                <a:ext uri="{FF2B5EF4-FFF2-40B4-BE49-F238E27FC236}">
                  <a16:creationId xmlns:a16="http://schemas.microsoft.com/office/drawing/2014/main" id="{0986EFF0-3A7E-5211-0467-74AA859B5442}"/>
                </a:ext>
              </a:extLst>
            </xdr14:cNvPr>
            <xdr14:cNvContentPartPr/>
          </xdr14:nvContentPartPr>
          <xdr14:nvPr macro=""/>
          <xdr14:xfrm>
            <a:off x="6845040" y="4585680"/>
            <a:ext cx="1085040" cy="398160"/>
          </xdr14:xfrm>
        </xdr:contentPart>
      </mc:Choice>
      <mc:Fallback xmlns="">
        <xdr:pic>
          <xdr:nvPicPr>
            <xdr:cNvPr id="182" name="Tinta 181">
              <a:extLst>
                <a:ext uri="{FF2B5EF4-FFF2-40B4-BE49-F238E27FC236}">
                  <a16:creationId xmlns:a16="http://schemas.microsoft.com/office/drawing/2014/main" id="{0986EFF0-3A7E-5211-0467-74AA859B5442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6836400" y="4577040"/>
              <a:ext cx="1102680" cy="41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64204</xdr:colOff>
      <xdr:row>22</xdr:row>
      <xdr:rowOff>71636</xdr:rowOff>
    </xdr:from>
    <xdr:to>
      <xdr:col>9</xdr:col>
      <xdr:colOff>774844</xdr:colOff>
      <xdr:row>24</xdr:row>
      <xdr:rowOff>39693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93" name="Tinta 192">
              <a:extLst>
                <a:ext uri="{FF2B5EF4-FFF2-40B4-BE49-F238E27FC236}">
                  <a16:creationId xmlns:a16="http://schemas.microsoft.com/office/drawing/2014/main" id="{BA800610-2649-5266-8A57-8B1AB2795F6A}"/>
                </a:ext>
              </a:extLst>
            </xdr14:cNvPr>
            <xdr14:cNvContentPartPr/>
          </xdr14:nvContentPartPr>
          <xdr14:nvPr macro=""/>
          <xdr14:xfrm>
            <a:off x="8897760" y="4573080"/>
            <a:ext cx="710640" cy="377280"/>
          </xdr14:xfrm>
        </xdr:contentPart>
      </mc:Choice>
      <mc:Fallback xmlns="">
        <xdr:pic>
          <xdr:nvPicPr>
            <xdr:cNvPr id="193" name="Tinta 192">
              <a:extLst>
                <a:ext uri="{FF2B5EF4-FFF2-40B4-BE49-F238E27FC236}">
                  <a16:creationId xmlns:a16="http://schemas.microsoft.com/office/drawing/2014/main" id="{BA800610-2649-5266-8A57-8B1AB2795F6A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8888765" y="4564080"/>
              <a:ext cx="728271" cy="39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533662</xdr:colOff>
      <xdr:row>24</xdr:row>
      <xdr:rowOff>5493</xdr:rowOff>
    </xdr:from>
    <xdr:to>
      <xdr:col>9</xdr:col>
      <xdr:colOff>193084</xdr:colOff>
      <xdr:row>25</xdr:row>
      <xdr:rowOff>50002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94" name="Tinta 193">
              <a:extLst>
                <a:ext uri="{FF2B5EF4-FFF2-40B4-BE49-F238E27FC236}">
                  <a16:creationId xmlns:a16="http://schemas.microsoft.com/office/drawing/2014/main" id="{5B048294-BFE9-DCF7-D10A-CD19CA06AA3E}"/>
                </a:ext>
              </a:extLst>
            </xdr14:cNvPr>
            <xdr14:cNvContentPartPr/>
          </xdr14:nvContentPartPr>
          <xdr14:nvPr macro=""/>
          <xdr14:xfrm>
            <a:off x="8506440" y="4916160"/>
            <a:ext cx="520200" cy="249120"/>
          </xdr14:xfrm>
        </xdr:contentPart>
      </mc:Choice>
      <mc:Fallback xmlns="">
        <xdr:pic>
          <xdr:nvPicPr>
            <xdr:cNvPr id="194" name="Tinta 193">
              <a:extLst>
                <a:ext uri="{FF2B5EF4-FFF2-40B4-BE49-F238E27FC236}">
                  <a16:creationId xmlns:a16="http://schemas.microsoft.com/office/drawing/2014/main" id="{5B048294-BFE9-DCF7-D10A-CD19CA06AA3E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8497794" y="4907520"/>
              <a:ext cx="537852" cy="266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317500</xdr:colOff>
      <xdr:row>2</xdr:row>
      <xdr:rowOff>165100</xdr:rowOff>
    </xdr:from>
    <xdr:to>
      <xdr:col>22</xdr:col>
      <xdr:colOff>330200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EFAE6-0211-A84E-97B0-D12068857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368300</xdr:colOff>
      <xdr:row>25</xdr:row>
      <xdr:rowOff>127000</xdr:rowOff>
    </xdr:from>
    <xdr:to>
      <xdr:col>22</xdr:col>
      <xdr:colOff>381000</xdr:colOff>
      <xdr:row>47</xdr:row>
      <xdr:rowOff>88900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7A3F7CD-365C-B24D-AC76-0D50F8D90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15874</xdr:colOff>
      <xdr:row>2</xdr:row>
      <xdr:rowOff>22490</xdr:rowOff>
    </xdr:from>
    <xdr:to>
      <xdr:col>15</xdr:col>
      <xdr:colOff>460374</xdr:colOff>
      <xdr:row>15</xdr:row>
      <xdr:rowOff>82815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264641-7E5F-CBF3-78B9-CD71814A4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359920</xdr:colOff>
      <xdr:row>2</xdr:row>
      <xdr:rowOff>53320</xdr:rowOff>
    </xdr:from>
    <xdr:to>
      <xdr:col>5</xdr:col>
      <xdr:colOff>815773</xdr:colOff>
      <xdr:row>4</xdr:row>
      <xdr:rowOff>127160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628D7732-724C-8ED0-86F1-34A872119C7D}"/>
                </a:ext>
              </a:extLst>
            </xdr14:cNvPr>
            <xdr14:cNvContentPartPr/>
          </xdr14:nvContentPartPr>
          <xdr14:nvPr macro=""/>
          <xdr14:xfrm>
            <a:off x="3433320" y="459720"/>
            <a:ext cx="2394720" cy="480240"/>
          </xdr14:xfrm>
        </xdr:contentPart>
      </mc:Choice>
      <mc:Fallback xmlns="">
        <xdr:pic>
          <xdr:nvPicPr>
            <xdr:cNvPr id="16" name="Tinta 15">
              <a:extLst>
                <a:ext uri="{FF2B5EF4-FFF2-40B4-BE49-F238E27FC236}">
                  <a16:creationId xmlns:a16="http://schemas.microsoft.com/office/drawing/2014/main" id="{628D7732-724C-8ED0-86F1-34A872119C7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424320" y="451080"/>
              <a:ext cx="2412360" cy="49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345400</xdr:colOff>
      <xdr:row>15</xdr:row>
      <xdr:rowOff>87600</xdr:rowOff>
    </xdr:from>
    <xdr:to>
      <xdr:col>13</xdr:col>
      <xdr:colOff>173387</xdr:colOff>
      <xdr:row>16</xdr:row>
      <xdr:rowOff>175640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8077CFBB-8601-7745-3C8D-20B4D06BB146}"/>
                </a:ext>
              </a:extLst>
            </xdr14:cNvPr>
            <xdr14:cNvContentPartPr/>
          </xdr14:nvContentPartPr>
          <xdr14:nvPr macro=""/>
          <xdr14:xfrm>
            <a:off x="11343600" y="3135600"/>
            <a:ext cx="657720" cy="291240"/>
          </xdr14:xfrm>
        </xdr:contentPart>
      </mc:Choice>
      <mc:Fallback xmlns="">
        <xdr:pic>
          <xdr:nvPicPr>
            <xdr:cNvPr id="22" name="Tinta 21">
              <a:extLst>
                <a:ext uri="{FF2B5EF4-FFF2-40B4-BE49-F238E27FC236}">
                  <a16:creationId xmlns:a16="http://schemas.microsoft.com/office/drawing/2014/main" id="{8077CFBB-8601-7745-3C8D-20B4D06BB14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334600" y="3126960"/>
              <a:ext cx="67536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307107</xdr:colOff>
      <xdr:row>1</xdr:row>
      <xdr:rowOff>97760</xdr:rowOff>
    </xdr:from>
    <xdr:to>
      <xdr:col>10</xdr:col>
      <xdr:colOff>643347</xdr:colOff>
      <xdr:row>3</xdr:row>
      <xdr:rowOff>60360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B3CB5F8C-2B25-FAFF-B791-5B13320E2FF3}"/>
                </a:ext>
              </a:extLst>
            </xdr14:cNvPr>
            <xdr14:cNvContentPartPr/>
          </xdr14:nvContentPartPr>
          <xdr14:nvPr macro=""/>
          <xdr14:xfrm>
            <a:off x="9645840" y="300960"/>
            <a:ext cx="336240" cy="369000"/>
          </xdr14:xfrm>
        </xdr:contentPart>
      </mc:Choice>
      <mc:Fallback xmlns="">
        <xdr:pic>
          <xdr:nvPicPr>
            <xdr:cNvPr id="25" name="Tinta 24">
              <a:extLst>
                <a:ext uri="{FF2B5EF4-FFF2-40B4-BE49-F238E27FC236}">
                  <a16:creationId xmlns:a16="http://schemas.microsoft.com/office/drawing/2014/main" id="{B3CB5F8C-2B25-FAFF-B791-5B13320E2FF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636840" y="291960"/>
              <a:ext cx="353880" cy="38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546213</xdr:colOff>
      <xdr:row>9</xdr:row>
      <xdr:rowOff>158760</xdr:rowOff>
    </xdr:from>
    <xdr:to>
      <xdr:col>11</xdr:col>
      <xdr:colOff>640533</xdr:colOff>
      <xdr:row>9</xdr:row>
      <xdr:rowOff>166320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89C9A68C-CA3B-2D7C-C01C-B94896024D4B}"/>
                </a:ext>
              </a:extLst>
            </xdr14:cNvPr>
            <xdr14:cNvContentPartPr/>
          </xdr14:nvContentPartPr>
          <xdr14:nvPr macro=""/>
          <xdr14:xfrm>
            <a:off x="10714680" y="1987560"/>
            <a:ext cx="94320" cy="7560"/>
          </xdr14:xfrm>
        </xdr:contentPart>
      </mc:Choice>
      <mc:Fallback xmlns="">
        <xdr:pic>
          <xdr:nvPicPr>
            <xdr:cNvPr id="26" name="Tinta 25">
              <a:extLst>
                <a:ext uri="{FF2B5EF4-FFF2-40B4-BE49-F238E27FC236}">
                  <a16:creationId xmlns:a16="http://schemas.microsoft.com/office/drawing/2014/main" id="{89C9A68C-CA3B-2D7C-C01C-B94896024D4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660680" y="1879560"/>
              <a:ext cx="20196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581493</xdr:colOff>
      <xdr:row>6</xdr:row>
      <xdr:rowOff>38640</xdr:rowOff>
    </xdr:from>
    <xdr:to>
      <xdr:col>14</xdr:col>
      <xdr:colOff>448133</xdr:colOff>
      <xdr:row>9</xdr:row>
      <xdr:rowOff>170640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7" name="Tinta 26">
              <a:extLst>
                <a:ext uri="{FF2B5EF4-FFF2-40B4-BE49-F238E27FC236}">
                  <a16:creationId xmlns:a16="http://schemas.microsoft.com/office/drawing/2014/main" id="{9B7A2459-5974-C450-03DB-7288238411A4}"/>
                </a:ext>
              </a:extLst>
            </xdr14:cNvPr>
            <xdr14:cNvContentPartPr/>
          </xdr14:nvContentPartPr>
          <xdr14:nvPr macro=""/>
          <xdr14:xfrm>
            <a:off x="10749960" y="1257840"/>
            <a:ext cx="2355840" cy="741600"/>
          </xdr14:xfrm>
        </xdr:contentPart>
      </mc:Choice>
      <mc:Fallback xmlns="">
        <xdr:pic>
          <xdr:nvPicPr>
            <xdr:cNvPr id="27" name="Tinta 26">
              <a:extLst>
                <a:ext uri="{FF2B5EF4-FFF2-40B4-BE49-F238E27FC236}">
                  <a16:creationId xmlns:a16="http://schemas.microsoft.com/office/drawing/2014/main" id="{9B7A2459-5974-C450-03DB-7288238411A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695960" y="1150200"/>
              <a:ext cx="2463480" cy="9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564933</xdr:colOff>
      <xdr:row>3</xdr:row>
      <xdr:rowOff>56400</xdr:rowOff>
    </xdr:from>
    <xdr:to>
      <xdr:col>14</xdr:col>
      <xdr:colOff>686093</xdr:colOff>
      <xdr:row>6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EC517B20-E66B-2980-1FA1-68C405F8CB57}"/>
                </a:ext>
              </a:extLst>
            </xdr14:cNvPr>
            <xdr14:cNvContentPartPr/>
          </xdr14:nvContentPartPr>
          <xdr14:nvPr macro=""/>
          <xdr14:xfrm>
            <a:off x="10733400" y="666000"/>
            <a:ext cx="2610360" cy="614160"/>
          </xdr14:xfrm>
        </xdr:contentPart>
      </mc:Choice>
      <mc:Fallback xmlns="">
        <xdr:pic>
          <xdr:nvPicPr>
            <xdr:cNvPr id="49" name="Tinta 48">
              <a:extLst>
                <a:ext uri="{FF2B5EF4-FFF2-40B4-BE49-F238E27FC236}">
                  <a16:creationId xmlns:a16="http://schemas.microsoft.com/office/drawing/2014/main" id="{EC517B20-E66B-2980-1FA1-68C405F8CB5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724760" y="657360"/>
              <a:ext cx="2628000" cy="63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750333</xdr:colOff>
      <xdr:row>10</xdr:row>
      <xdr:rowOff>183440</xdr:rowOff>
    </xdr:from>
    <xdr:to>
      <xdr:col>11</xdr:col>
      <xdr:colOff>777333</xdr:colOff>
      <xdr:row>11</xdr:row>
      <xdr:rowOff>14800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7883050A-DFC6-C0E3-3EEE-D5545EF08A98}"/>
                </a:ext>
              </a:extLst>
            </xdr14:cNvPr>
            <xdr14:cNvContentPartPr/>
          </xdr14:nvContentPartPr>
          <xdr14:nvPr macro=""/>
          <xdr14:xfrm>
            <a:off x="10918800" y="2215440"/>
            <a:ext cx="27000" cy="34560"/>
          </xdr14:xfrm>
        </xdr:contentPart>
      </mc:Choice>
      <mc:Fallback xmlns="">
        <xdr:pic>
          <xdr:nvPicPr>
            <xdr:cNvPr id="50" name="Tinta 49">
              <a:extLst>
                <a:ext uri="{FF2B5EF4-FFF2-40B4-BE49-F238E27FC236}">
                  <a16:creationId xmlns:a16="http://schemas.microsoft.com/office/drawing/2014/main" id="{7883050A-DFC6-C0E3-3EEE-D5545EF08A9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909800" y="2206440"/>
              <a:ext cx="4464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766173</xdr:colOff>
      <xdr:row>9</xdr:row>
      <xdr:rowOff>144360</xdr:rowOff>
    </xdr:from>
    <xdr:to>
      <xdr:col>11</xdr:col>
      <xdr:colOff>780933</xdr:colOff>
      <xdr:row>15</xdr:row>
      <xdr:rowOff>152040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1" name="Tinta 50">
              <a:extLst>
                <a:ext uri="{FF2B5EF4-FFF2-40B4-BE49-F238E27FC236}">
                  <a16:creationId xmlns:a16="http://schemas.microsoft.com/office/drawing/2014/main" id="{AE27DECB-F6D7-8DF3-0588-727C6646067B}"/>
                </a:ext>
              </a:extLst>
            </xdr14:cNvPr>
            <xdr14:cNvContentPartPr/>
          </xdr14:nvContentPartPr>
          <xdr14:nvPr macro=""/>
          <xdr14:xfrm>
            <a:off x="10934640" y="1973160"/>
            <a:ext cx="14760" cy="1226880"/>
          </xdr14:xfrm>
        </xdr:contentPart>
      </mc:Choice>
      <mc:Fallback xmlns="">
        <xdr:pic>
          <xdr:nvPicPr>
            <xdr:cNvPr id="51" name="Tinta 50">
              <a:extLst>
                <a:ext uri="{FF2B5EF4-FFF2-40B4-BE49-F238E27FC236}">
                  <a16:creationId xmlns:a16="http://schemas.microsoft.com/office/drawing/2014/main" id="{AE27DECB-F6D7-8DF3-0588-727C664606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926000" y="1964520"/>
              <a:ext cx="32400" cy="124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693813</xdr:colOff>
      <xdr:row>8</xdr:row>
      <xdr:rowOff>183040</xdr:rowOff>
    </xdr:from>
    <xdr:to>
      <xdr:col>11</xdr:col>
      <xdr:colOff>789213</xdr:colOff>
      <xdr:row>9</xdr:row>
      <xdr:rowOff>83160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2" name="Tinta 51">
              <a:extLst>
                <a:ext uri="{FF2B5EF4-FFF2-40B4-BE49-F238E27FC236}">
                  <a16:creationId xmlns:a16="http://schemas.microsoft.com/office/drawing/2014/main" id="{6E4B6E56-8DFF-1A55-F147-117ED88E3ED1}"/>
                </a:ext>
              </a:extLst>
            </xdr14:cNvPr>
            <xdr14:cNvContentPartPr/>
          </xdr14:nvContentPartPr>
          <xdr14:nvPr macro=""/>
          <xdr14:xfrm>
            <a:off x="10862280" y="1808640"/>
            <a:ext cx="95400" cy="103320"/>
          </xdr14:xfrm>
        </xdr:contentPart>
      </mc:Choice>
      <mc:Fallback xmlns="">
        <xdr:pic>
          <xdr:nvPicPr>
            <xdr:cNvPr id="52" name="Tinta 51">
              <a:extLst>
                <a:ext uri="{FF2B5EF4-FFF2-40B4-BE49-F238E27FC236}">
                  <a16:creationId xmlns:a16="http://schemas.microsoft.com/office/drawing/2014/main" id="{6E4B6E56-8DFF-1A55-F147-117ED88E3ED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853280" y="1800000"/>
              <a:ext cx="11304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188080</xdr:colOff>
      <xdr:row>12</xdr:row>
      <xdr:rowOff>12840</xdr:rowOff>
    </xdr:from>
    <xdr:to>
      <xdr:col>12</xdr:col>
      <xdr:colOff>198160</xdr:colOff>
      <xdr:row>12</xdr:row>
      <xdr:rowOff>131280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3" name="Tinta 52">
              <a:extLst>
                <a:ext uri="{FF2B5EF4-FFF2-40B4-BE49-F238E27FC236}">
                  <a16:creationId xmlns:a16="http://schemas.microsoft.com/office/drawing/2014/main" id="{BF1F8405-C11D-5528-E0B5-4D8CBA7DFF4F}"/>
                </a:ext>
              </a:extLst>
            </xdr14:cNvPr>
            <xdr14:cNvContentPartPr/>
          </xdr14:nvContentPartPr>
          <xdr14:nvPr macro=""/>
          <xdr14:xfrm>
            <a:off x="11186280" y="2451240"/>
            <a:ext cx="10080" cy="118440"/>
          </xdr14:xfrm>
        </xdr:contentPart>
      </mc:Choice>
      <mc:Fallback xmlns="">
        <xdr:pic>
          <xdr:nvPicPr>
            <xdr:cNvPr id="53" name="Tinta 52">
              <a:extLst>
                <a:ext uri="{FF2B5EF4-FFF2-40B4-BE49-F238E27FC236}">
                  <a16:creationId xmlns:a16="http://schemas.microsoft.com/office/drawing/2014/main" id="{BF1F8405-C11D-5528-E0B5-4D8CBA7DFF4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177280" y="2442240"/>
              <a:ext cx="2772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670053</xdr:colOff>
      <xdr:row>8</xdr:row>
      <xdr:rowOff>520</xdr:rowOff>
    </xdr:from>
    <xdr:to>
      <xdr:col>11</xdr:col>
      <xdr:colOff>743493</xdr:colOff>
      <xdr:row>8</xdr:row>
      <xdr:rowOff>106000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885C09E1-7A9A-A1C4-48C4-F949F9D907EB}"/>
                </a:ext>
              </a:extLst>
            </xdr14:cNvPr>
            <xdr14:cNvContentPartPr/>
          </xdr14:nvContentPartPr>
          <xdr14:nvPr macro=""/>
          <xdr14:xfrm>
            <a:off x="10838520" y="1626120"/>
            <a:ext cx="73440" cy="105480"/>
          </xdr14:xfrm>
        </xdr:contentPart>
      </mc:Choice>
      <mc:Fallback xmlns="">
        <xdr:pic>
          <xdr:nvPicPr>
            <xdr:cNvPr id="60" name="Tinta 59">
              <a:extLst>
                <a:ext uri="{FF2B5EF4-FFF2-40B4-BE49-F238E27FC236}">
                  <a16:creationId xmlns:a16="http://schemas.microsoft.com/office/drawing/2014/main" id="{885C09E1-7A9A-A1C4-48C4-F949F9D907E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829880" y="1617450"/>
              <a:ext cx="91080" cy="123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400413</xdr:colOff>
      <xdr:row>9</xdr:row>
      <xdr:rowOff>27720</xdr:rowOff>
    </xdr:from>
    <xdr:to>
      <xdr:col>11</xdr:col>
      <xdr:colOff>479973</xdr:colOff>
      <xdr:row>9</xdr:row>
      <xdr:rowOff>147240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1" name="Tinta 60">
              <a:extLst>
                <a:ext uri="{FF2B5EF4-FFF2-40B4-BE49-F238E27FC236}">
                  <a16:creationId xmlns:a16="http://schemas.microsoft.com/office/drawing/2014/main" id="{EF7DFEA5-09EF-D68F-59FA-581C6AC6199A}"/>
                </a:ext>
              </a:extLst>
            </xdr14:cNvPr>
            <xdr14:cNvContentPartPr/>
          </xdr14:nvContentPartPr>
          <xdr14:nvPr macro=""/>
          <xdr14:xfrm>
            <a:off x="10568880" y="1856520"/>
            <a:ext cx="79560" cy="119520"/>
          </xdr14:xfrm>
        </xdr:contentPart>
      </mc:Choice>
      <mc:Fallback xmlns="">
        <xdr:pic>
          <xdr:nvPicPr>
            <xdr:cNvPr id="61" name="Tinta 60">
              <a:extLst>
                <a:ext uri="{FF2B5EF4-FFF2-40B4-BE49-F238E27FC236}">
                  <a16:creationId xmlns:a16="http://schemas.microsoft.com/office/drawing/2014/main" id="{EF7DFEA5-09EF-D68F-59FA-581C6AC6199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560240" y="1847520"/>
              <a:ext cx="9720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404733</xdr:colOff>
      <xdr:row>10</xdr:row>
      <xdr:rowOff>89120</xdr:rowOff>
    </xdr:from>
    <xdr:to>
      <xdr:col>11</xdr:col>
      <xdr:colOff>706053</xdr:colOff>
      <xdr:row>11</xdr:row>
      <xdr:rowOff>142240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2" name="Tinta 61">
              <a:extLst>
                <a:ext uri="{FF2B5EF4-FFF2-40B4-BE49-F238E27FC236}">
                  <a16:creationId xmlns:a16="http://schemas.microsoft.com/office/drawing/2014/main" id="{075F9E98-79E2-8353-90D1-2EC84F04AEE0}"/>
                </a:ext>
              </a:extLst>
            </xdr14:cNvPr>
            <xdr14:cNvContentPartPr/>
          </xdr14:nvContentPartPr>
          <xdr14:nvPr macro=""/>
          <xdr14:xfrm>
            <a:off x="10573200" y="2121120"/>
            <a:ext cx="301320" cy="256320"/>
          </xdr14:xfrm>
        </xdr:contentPart>
      </mc:Choice>
      <mc:Fallback xmlns="">
        <xdr:pic>
          <xdr:nvPicPr>
            <xdr:cNvPr id="62" name="Tinta 61">
              <a:extLst>
                <a:ext uri="{FF2B5EF4-FFF2-40B4-BE49-F238E27FC236}">
                  <a16:creationId xmlns:a16="http://schemas.microsoft.com/office/drawing/2014/main" id="{075F9E98-79E2-8353-90D1-2EC84F04AEE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564560" y="2112133"/>
              <a:ext cx="318960" cy="2739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740893</xdr:colOff>
      <xdr:row>6</xdr:row>
      <xdr:rowOff>80400</xdr:rowOff>
    </xdr:from>
    <xdr:to>
      <xdr:col>6</xdr:col>
      <xdr:colOff>12680</xdr:colOff>
      <xdr:row>9</xdr:row>
      <xdr:rowOff>40320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0" name="Tinta 69">
              <a:extLst>
                <a:ext uri="{FF2B5EF4-FFF2-40B4-BE49-F238E27FC236}">
                  <a16:creationId xmlns:a16="http://schemas.microsoft.com/office/drawing/2014/main" id="{7E099DCC-3D24-41DE-1516-A4AAAE137098}"/>
                </a:ext>
              </a:extLst>
            </xdr14:cNvPr>
            <xdr14:cNvContentPartPr/>
          </xdr14:nvContentPartPr>
          <xdr14:nvPr macro=""/>
          <xdr14:xfrm>
            <a:off x="5753160" y="1299600"/>
            <a:ext cx="101520" cy="569520"/>
          </xdr14:xfrm>
        </xdr:contentPart>
      </mc:Choice>
      <mc:Fallback xmlns="">
        <xdr:pic>
          <xdr:nvPicPr>
            <xdr:cNvPr id="70" name="Tinta 69">
              <a:extLst>
                <a:ext uri="{FF2B5EF4-FFF2-40B4-BE49-F238E27FC236}">
                  <a16:creationId xmlns:a16="http://schemas.microsoft.com/office/drawing/2014/main" id="{7E099DCC-3D24-41DE-1516-A4AAAE13709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744160" y="1290965"/>
              <a:ext cx="119160" cy="5871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738733</xdr:colOff>
      <xdr:row>4</xdr:row>
      <xdr:rowOff>96560</xdr:rowOff>
    </xdr:from>
    <xdr:to>
      <xdr:col>5</xdr:col>
      <xdr:colOff>794893</xdr:colOff>
      <xdr:row>5</xdr:row>
      <xdr:rowOff>193240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1" name="Tinta 70">
              <a:extLst>
                <a:ext uri="{FF2B5EF4-FFF2-40B4-BE49-F238E27FC236}">
                  <a16:creationId xmlns:a16="http://schemas.microsoft.com/office/drawing/2014/main" id="{BD11827B-7179-1782-6F5F-9FAF87D6127F}"/>
                </a:ext>
              </a:extLst>
            </xdr14:cNvPr>
            <xdr14:cNvContentPartPr/>
          </xdr14:nvContentPartPr>
          <xdr14:nvPr macro=""/>
          <xdr14:xfrm>
            <a:off x="5751000" y="909360"/>
            <a:ext cx="56160" cy="299880"/>
          </xdr14:xfrm>
        </xdr:contentPart>
      </mc:Choice>
      <mc:Fallback xmlns="">
        <xdr:pic>
          <xdr:nvPicPr>
            <xdr:cNvPr id="71" name="Tinta 70">
              <a:extLst>
                <a:ext uri="{FF2B5EF4-FFF2-40B4-BE49-F238E27FC236}">
                  <a16:creationId xmlns:a16="http://schemas.microsoft.com/office/drawing/2014/main" id="{BD11827B-7179-1782-6F5F-9FAF87D6127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742360" y="900710"/>
              <a:ext cx="73800" cy="317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245760</xdr:colOff>
      <xdr:row>8</xdr:row>
      <xdr:rowOff>185560</xdr:rowOff>
    </xdr:from>
    <xdr:to>
      <xdr:col>9</xdr:col>
      <xdr:colOff>876840</xdr:colOff>
      <xdr:row>8</xdr:row>
      <xdr:rowOff>191680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2" name="Tinta 71">
              <a:extLst>
                <a:ext uri="{FF2B5EF4-FFF2-40B4-BE49-F238E27FC236}">
                  <a16:creationId xmlns:a16="http://schemas.microsoft.com/office/drawing/2014/main" id="{3E57CB81-1597-E867-9AE4-3D76C9636E75}"/>
                </a:ext>
              </a:extLst>
            </xdr14:cNvPr>
            <xdr14:cNvContentPartPr/>
          </xdr14:nvContentPartPr>
          <xdr14:nvPr macro=""/>
          <xdr14:xfrm>
            <a:off x="8627760" y="1811160"/>
            <a:ext cx="631080" cy="6120"/>
          </xdr14:xfrm>
        </xdr:contentPart>
      </mc:Choice>
      <mc:Fallback xmlns="">
        <xdr:pic>
          <xdr:nvPicPr>
            <xdr:cNvPr id="72" name="Tinta 71">
              <a:extLst>
                <a:ext uri="{FF2B5EF4-FFF2-40B4-BE49-F238E27FC236}">
                  <a16:creationId xmlns:a16="http://schemas.microsoft.com/office/drawing/2014/main" id="{3E57CB81-1597-E867-9AE4-3D76C9636E7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619120" y="1802520"/>
              <a:ext cx="64872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192453</xdr:colOff>
      <xdr:row>8</xdr:row>
      <xdr:rowOff>200320</xdr:rowOff>
    </xdr:from>
    <xdr:to>
      <xdr:col>8</xdr:col>
      <xdr:colOff>719493</xdr:colOff>
      <xdr:row>8</xdr:row>
      <xdr:rowOff>202840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38CDA833-CAFA-8C5F-C034-C6461FF98259}"/>
                </a:ext>
              </a:extLst>
            </xdr14:cNvPr>
            <xdr14:cNvContentPartPr/>
          </xdr14:nvContentPartPr>
          <xdr14:nvPr macro=""/>
          <xdr14:xfrm>
            <a:off x="7693920" y="1825920"/>
            <a:ext cx="527040" cy="2520"/>
          </xdr14:xfrm>
        </xdr:contentPart>
      </mc:Choice>
      <mc:Fallback xmlns="">
        <xdr:pic>
          <xdr:nvPicPr>
            <xdr:cNvPr id="73" name="Tinta 72">
              <a:extLst>
                <a:ext uri="{FF2B5EF4-FFF2-40B4-BE49-F238E27FC236}">
                  <a16:creationId xmlns:a16="http://schemas.microsoft.com/office/drawing/2014/main" id="{38CDA833-CAFA-8C5F-C034-C6461FF9825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684920" y="1817280"/>
              <a:ext cx="544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287880</xdr:colOff>
      <xdr:row>5</xdr:row>
      <xdr:rowOff>195400</xdr:rowOff>
    </xdr:from>
    <xdr:to>
      <xdr:col>9</xdr:col>
      <xdr:colOff>686760</xdr:colOff>
      <xdr:row>5</xdr:row>
      <xdr:rowOff>195760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4" name="Tinta 73">
              <a:extLst>
                <a:ext uri="{FF2B5EF4-FFF2-40B4-BE49-F238E27FC236}">
                  <a16:creationId xmlns:a16="http://schemas.microsoft.com/office/drawing/2014/main" id="{6DDBC029-EE80-E4AC-7BC3-86C7A2E11372}"/>
                </a:ext>
              </a:extLst>
            </xdr14:cNvPr>
            <xdr14:cNvContentPartPr/>
          </xdr14:nvContentPartPr>
          <xdr14:nvPr macro=""/>
          <xdr14:xfrm>
            <a:off x="8669880" y="1211400"/>
            <a:ext cx="398880" cy="360"/>
          </xdr14:xfrm>
        </xdr:contentPart>
      </mc:Choice>
      <mc:Fallback xmlns="">
        <xdr:pic>
          <xdr:nvPicPr>
            <xdr:cNvPr id="74" name="Tinta 73">
              <a:extLst>
                <a:ext uri="{FF2B5EF4-FFF2-40B4-BE49-F238E27FC236}">
                  <a16:creationId xmlns:a16="http://schemas.microsoft.com/office/drawing/2014/main" id="{6DDBC029-EE80-E4AC-7BC3-86C7A2E1137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661240" y="1202760"/>
              <a:ext cx="4165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184893</xdr:colOff>
      <xdr:row>5</xdr:row>
      <xdr:rowOff>168760</xdr:rowOff>
    </xdr:from>
    <xdr:to>
      <xdr:col>8</xdr:col>
      <xdr:colOff>859173</xdr:colOff>
      <xdr:row>5</xdr:row>
      <xdr:rowOff>169120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5" name="Tinta 74">
              <a:extLst>
                <a:ext uri="{FF2B5EF4-FFF2-40B4-BE49-F238E27FC236}">
                  <a16:creationId xmlns:a16="http://schemas.microsoft.com/office/drawing/2014/main" id="{2B41C86A-F19B-C64E-CFB5-9C43A6066A85}"/>
                </a:ext>
              </a:extLst>
            </xdr14:cNvPr>
            <xdr14:cNvContentPartPr/>
          </xdr14:nvContentPartPr>
          <xdr14:nvPr macro=""/>
          <xdr14:xfrm>
            <a:off x="7686360" y="1184760"/>
            <a:ext cx="674280" cy="360"/>
          </xdr14:xfrm>
        </xdr:contentPart>
      </mc:Choice>
      <mc:Fallback xmlns="">
        <xdr:pic>
          <xdr:nvPicPr>
            <xdr:cNvPr id="75" name="Tinta 74">
              <a:extLst>
                <a:ext uri="{FF2B5EF4-FFF2-40B4-BE49-F238E27FC236}">
                  <a16:creationId xmlns:a16="http://schemas.microsoft.com/office/drawing/2014/main" id="{2B41C86A-F19B-C64E-CFB5-9C43A6066A8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677360" y="1176120"/>
              <a:ext cx="6919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488253</xdr:colOff>
      <xdr:row>9</xdr:row>
      <xdr:rowOff>173160</xdr:rowOff>
    </xdr:from>
    <xdr:to>
      <xdr:col>11</xdr:col>
      <xdr:colOff>564573</xdr:colOff>
      <xdr:row>10</xdr:row>
      <xdr:rowOff>29360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6" name="Tinta 75">
              <a:extLst>
                <a:ext uri="{FF2B5EF4-FFF2-40B4-BE49-F238E27FC236}">
                  <a16:creationId xmlns:a16="http://schemas.microsoft.com/office/drawing/2014/main" id="{0A3BF030-01C9-A3A4-9B37-FEAFE626EA70}"/>
                </a:ext>
              </a:extLst>
            </xdr14:cNvPr>
            <xdr14:cNvContentPartPr/>
          </xdr14:nvContentPartPr>
          <xdr14:nvPr macro=""/>
          <xdr14:xfrm>
            <a:off x="10656720" y="2001960"/>
            <a:ext cx="76320" cy="59400"/>
          </xdr14:xfrm>
        </xdr:contentPart>
      </mc:Choice>
      <mc:Fallback xmlns="">
        <xdr:pic>
          <xdr:nvPicPr>
            <xdr:cNvPr id="76" name="Tinta 75">
              <a:extLst>
                <a:ext uri="{FF2B5EF4-FFF2-40B4-BE49-F238E27FC236}">
                  <a16:creationId xmlns:a16="http://schemas.microsoft.com/office/drawing/2014/main" id="{0A3BF030-01C9-A3A4-9B37-FEAFE626EA7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647720" y="1993320"/>
              <a:ext cx="93960" cy="7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504453</xdr:colOff>
      <xdr:row>6</xdr:row>
      <xdr:rowOff>66720</xdr:rowOff>
    </xdr:from>
    <xdr:to>
      <xdr:col>14</xdr:col>
      <xdr:colOff>346613</xdr:colOff>
      <xdr:row>10</xdr:row>
      <xdr:rowOff>18200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7" name="Tinta 76">
              <a:extLst>
                <a:ext uri="{FF2B5EF4-FFF2-40B4-BE49-F238E27FC236}">
                  <a16:creationId xmlns:a16="http://schemas.microsoft.com/office/drawing/2014/main" id="{1303547A-FCBD-BB89-E88F-62203DC60520}"/>
                </a:ext>
              </a:extLst>
            </xdr14:cNvPr>
            <xdr14:cNvContentPartPr/>
          </xdr14:nvContentPartPr>
          <xdr14:nvPr macro=""/>
          <xdr14:xfrm>
            <a:off x="10672920" y="1285920"/>
            <a:ext cx="2331360" cy="764280"/>
          </xdr14:xfrm>
        </xdr:contentPart>
      </mc:Choice>
      <mc:Fallback xmlns="">
        <xdr:pic>
          <xdr:nvPicPr>
            <xdr:cNvPr id="77" name="Tinta 76">
              <a:extLst>
                <a:ext uri="{FF2B5EF4-FFF2-40B4-BE49-F238E27FC236}">
                  <a16:creationId xmlns:a16="http://schemas.microsoft.com/office/drawing/2014/main" id="{1303547A-FCBD-BB89-E88F-62203DC6052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664280" y="1276920"/>
              <a:ext cx="2349000" cy="78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318693</xdr:colOff>
      <xdr:row>11</xdr:row>
      <xdr:rowOff>99040</xdr:rowOff>
    </xdr:from>
    <xdr:to>
      <xdr:col>12</xdr:col>
      <xdr:colOff>181240</xdr:colOff>
      <xdr:row>12</xdr:row>
      <xdr:rowOff>202920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8" name="Tinta 77">
              <a:extLst>
                <a:ext uri="{FF2B5EF4-FFF2-40B4-BE49-F238E27FC236}">
                  <a16:creationId xmlns:a16="http://schemas.microsoft.com/office/drawing/2014/main" id="{D0AE31A6-441B-AE18-21B3-381A135AA329}"/>
                </a:ext>
              </a:extLst>
            </xdr14:cNvPr>
            <xdr14:cNvContentPartPr/>
          </xdr14:nvContentPartPr>
          <xdr14:nvPr macro=""/>
          <xdr14:xfrm>
            <a:off x="10487160" y="2334240"/>
            <a:ext cx="692280" cy="307080"/>
          </xdr14:xfrm>
        </xdr:contentPart>
      </mc:Choice>
      <mc:Fallback xmlns="">
        <xdr:pic>
          <xdr:nvPicPr>
            <xdr:cNvPr id="78" name="Tinta 77">
              <a:extLst>
                <a:ext uri="{FF2B5EF4-FFF2-40B4-BE49-F238E27FC236}">
                  <a16:creationId xmlns:a16="http://schemas.microsoft.com/office/drawing/2014/main" id="{D0AE31A6-441B-AE18-21B3-381A135AA32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478520" y="2325600"/>
              <a:ext cx="709920" cy="324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1014951</xdr:colOff>
      <xdr:row>7</xdr:row>
      <xdr:rowOff>73059</xdr:rowOff>
    </xdr:from>
    <xdr:to>
      <xdr:col>6</xdr:col>
      <xdr:colOff>147318</xdr:colOff>
      <xdr:row>12</xdr:row>
      <xdr:rowOff>129049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764C8450-C911-D729-9476-F0123EFE81E2}"/>
                </a:ext>
              </a:extLst>
            </xdr14:cNvPr>
            <xdr14:cNvContentPartPr/>
          </xdr14:nvContentPartPr>
          <xdr14:nvPr macro=""/>
          <xdr14:xfrm>
            <a:off x="6468480" y="1485000"/>
            <a:ext cx="693720" cy="106452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764C8450-C911-D729-9476-F0123EFE81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459871" y="1476194"/>
              <a:ext cx="711296" cy="10817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1237038</xdr:colOff>
      <xdr:row>7</xdr:row>
      <xdr:rowOff>195819</xdr:rowOff>
    </xdr:from>
    <xdr:to>
      <xdr:col>7</xdr:col>
      <xdr:colOff>248667</xdr:colOff>
      <xdr:row>11</xdr:row>
      <xdr:rowOff>52115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25E84799-E4F7-5814-D6D5-E0D5A71BCA17}"/>
                </a:ext>
              </a:extLst>
            </xdr14:cNvPr>
            <xdr14:cNvContentPartPr/>
          </xdr14:nvContentPartPr>
          <xdr14:nvPr macro=""/>
          <xdr14:xfrm>
            <a:off x="8251920" y="1607760"/>
            <a:ext cx="1193040" cy="66312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25E84799-E4F7-5814-D6D5-E0D5A71BCA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243290" y="1599357"/>
              <a:ext cx="1210659" cy="6802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1108911</xdr:colOff>
      <xdr:row>7</xdr:row>
      <xdr:rowOff>50379</xdr:rowOff>
    </xdr:from>
    <xdr:to>
      <xdr:col>5</xdr:col>
      <xdr:colOff>1493751</xdr:colOff>
      <xdr:row>9</xdr:row>
      <xdr:rowOff>138007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D2765DF4-7D7F-2820-5915-45896D437FA2}"/>
                </a:ext>
              </a:extLst>
            </xdr14:cNvPr>
            <xdr14:cNvContentPartPr/>
          </xdr14:nvContentPartPr>
          <xdr14:nvPr macro=""/>
          <xdr14:xfrm>
            <a:off x="6562440" y="1462320"/>
            <a:ext cx="384840" cy="49104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D2765DF4-7D7F-2820-5915-45896D437FA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553800" y="1453680"/>
              <a:ext cx="402480" cy="50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1680918</xdr:colOff>
      <xdr:row>7</xdr:row>
      <xdr:rowOff>186459</xdr:rowOff>
    </xdr:from>
    <xdr:to>
      <xdr:col>6</xdr:col>
      <xdr:colOff>2081238</xdr:colOff>
      <xdr:row>11</xdr:row>
      <xdr:rowOff>38075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4A114572-94CA-0DDB-4ACA-6AA04C5DFF49}"/>
                </a:ext>
              </a:extLst>
            </xdr14:cNvPr>
            <xdr14:cNvContentPartPr/>
          </xdr14:nvContentPartPr>
          <xdr14:nvPr macro=""/>
          <xdr14:xfrm>
            <a:off x="8695800" y="1598400"/>
            <a:ext cx="400320" cy="6584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4A114572-94CA-0DDB-4ACA-6AA04C5DFF4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687160" y="1589649"/>
              <a:ext cx="417960" cy="6755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1173351</xdr:colOff>
      <xdr:row>10</xdr:row>
      <xdr:rowOff>52941</xdr:rowOff>
    </xdr:from>
    <xdr:to>
      <xdr:col>5</xdr:col>
      <xdr:colOff>1493031</xdr:colOff>
      <xdr:row>11</xdr:row>
      <xdr:rowOff>72635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49E5E2A8-3E6C-0C82-49A1-6B77BFB2A1EE}"/>
                </a:ext>
              </a:extLst>
            </xdr14:cNvPr>
            <xdr14:cNvContentPartPr/>
          </xdr14:nvContentPartPr>
          <xdr14:nvPr macro=""/>
          <xdr14:xfrm>
            <a:off x="6626880" y="2070000"/>
            <a:ext cx="319680" cy="221400"/>
          </xdr14:xfrm>
        </xdr:contentPart>
      </mc:Choice>
      <mc:Fallback xmlns="">
        <xdr:pic>
          <xdr:nvPicPr>
            <xdr:cNvPr id="8" name="Tinta 7">
              <a:extLst>
                <a:ext uri="{FF2B5EF4-FFF2-40B4-BE49-F238E27FC236}">
                  <a16:creationId xmlns:a16="http://schemas.microsoft.com/office/drawing/2014/main" id="{49E5E2A8-3E6C-0C82-49A1-6B77BFB2A1E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618240" y="2061360"/>
              <a:ext cx="33732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1136631</xdr:colOff>
      <xdr:row>9</xdr:row>
      <xdr:rowOff>191287</xdr:rowOff>
    </xdr:from>
    <xdr:to>
      <xdr:col>5</xdr:col>
      <xdr:colOff>1422831</xdr:colOff>
      <xdr:row>11</xdr:row>
      <xdr:rowOff>176315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B7D568F5-F0A4-DEC2-2444-B0B985D8DA63}"/>
                </a:ext>
              </a:extLst>
            </xdr14:cNvPr>
            <xdr14:cNvContentPartPr/>
          </xdr14:nvContentPartPr>
          <xdr14:nvPr macro=""/>
          <xdr14:xfrm>
            <a:off x="6590160" y="2006640"/>
            <a:ext cx="286200" cy="388440"/>
          </xdr14:xfrm>
        </xdr:contentPart>
      </mc:Choice>
      <mc:Fallback xmlns=""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B7D568F5-F0A4-DEC2-2444-B0B985D8DA6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81520" y="1998000"/>
              <a:ext cx="303840" cy="40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1449078</xdr:colOff>
      <xdr:row>8</xdr:row>
      <xdr:rowOff>56033</xdr:rowOff>
    </xdr:from>
    <xdr:to>
      <xdr:col>6</xdr:col>
      <xdr:colOff>1751478</xdr:colOff>
      <xdr:row>10</xdr:row>
      <xdr:rowOff>54021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1F1A71D9-E070-3354-2DFF-0B512F8B3C3C}"/>
                </a:ext>
              </a:extLst>
            </xdr14:cNvPr>
            <xdr14:cNvContentPartPr/>
          </xdr14:nvContentPartPr>
          <xdr14:nvPr macro=""/>
          <xdr14:xfrm>
            <a:off x="8463960" y="1669680"/>
            <a:ext cx="302400" cy="401400"/>
          </xdr14:xfrm>
        </xdr:contentPart>
      </mc:Choice>
      <mc:Fallback xmlns="">
        <xdr:pic>
          <xdr:nvPicPr>
            <xdr:cNvPr id="12" name="Tinta 11">
              <a:extLst>
                <a:ext uri="{FF2B5EF4-FFF2-40B4-BE49-F238E27FC236}">
                  <a16:creationId xmlns:a16="http://schemas.microsoft.com/office/drawing/2014/main" id="{1F1A71D9-E070-3354-2DFF-0B512F8B3C3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455320" y="1660680"/>
              <a:ext cx="320040" cy="41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1236711</xdr:colOff>
      <xdr:row>8</xdr:row>
      <xdr:rowOff>78713</xdr:rowOff>
    </xdr:from>
    <xdr:to>
      <xdr:col>5</xdr:col>
      <xdr:colOff>1373871</xdr:colOff>
      <xdr:row>9</xdr:row>
      <xdr:rowOff>15967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35822C4D-37DC-8E9C-4389-7EA51C554100}"/>
                </a:ext>
              </a:extLst>
            </xdr14:cNvPr>
            <xdr14:cNvContentPartPr/>
          </xdr14:nvContentPartPr>
          <xdr14:nvPr macro=""/>
          <xdr14:xfrm>
            <a:off x="6690240" y="1692360"/>
            <a:ext cx="137160" cy="138960"/>
          </xdr14:xfrm>
        </xdr:contentPart>
      </mc:Choice>
      <mc:Fallback xmlns="">
        <xdr:pic>
          <xdr:nvPicPr>
            <xdr:cNvPr id="16" name="Tinta 15">
              <a:extLst>
                <a:ext uri="{FF2B5EF4-FFF2-40B4-BE49-F238E27FC236}">
                  <a16:creationId xmlns:a16="http://schemas.microsoft.com/office/drawing/2014/main" id="{35822C4D-37DC-8E9C-4389-7EA51C55410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681600" y="1683698"/>
              <a:ext cx="154800" cy="1566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1844358</xdr:colOff>
      <xdr:row>8</xdr:row>
      <xdr:rowOff>198233</xdr:rowOff>
    </xdr:from>
    <xdr:to>
      <xdr:col>6</xdr:col>
      <xdr:colOff>1999878</xdr:colOff>
      <xdr:row>9</xdr:row>
      <xdr:rowOff>128287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CA93464D-2A34-7317-80B6-404ADC6D84B8}"/>
                </a:ext>
              </a:extLst>
            </xdr14:cNvPr>
            <xdr14:cNvContentPartPr/>
          </xdr14:nvContentPartPr>
          <xdr14:nvPr macro=""/>
          <xdr14:xfrm>
            <a:off x="8859240" y="1811880"/>
            <a:ext cx="155520" cy="13176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CA93464D-2A34-7317-80B6-404ADC6D84B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850580" y="1802880"/>
              <a:ext cx="173201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46814</xdr:colOff>
      <xdr:row>37</xdr:row>
      <xdr:rowOff>161615</xdr:rowOff>
    </xdr:from>
    <xdr:to>
      <xdr:col>11</xdr:col>
      <xdr:colOff>140446</xdr:colOff>
      <xdr:row>51</xdr:row>
      <xdr:rowOff>79438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6B0F09A-0569-FB8D-A9AE-A7DE55B26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6</xdr:col>
      <xdr:colOff>290960</xdr:colOff>
      <xdr:row>44</xdr:row>
      <xdr:rowOff>8080</xdr:rowOff>
    </xdr:from>
    <xdr:to>
      <xdr:col>6</xdr:col>
      <xdr:colOff>1546640</xdr:colOff>
      <xdr:row>55</xdr:row>
      <xdr:rowOff>89480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E88F6F9E-2732-8E45-D394-110A4620A993}"/>
                </a:ext>
              </a:extLst>
            </xdr14:cNvPr>
            <xdr14:cNvContentPartPr/>
          </xdr14:nvContentPartPr>
          <xdr14:nvPr macro=""/>
          <xdr14:xfrm>
            <a:off x="7504560" y="8948880"/>
            <a:ext cx="1255680" cy="2316600"/>
          </xdr14:xfrm>
        </xdr:contentPart>
      </mc:Choice>
      <mc:Fallback xmlns="">
        <xdr:pic>
          <xdr:nvPicPr>
            <xdr:cNvPr id="32" name="Tinta 31">
              <a:extLst>
                <a:ext uri="{FF2B5EF4-FFF2-40B4-BE49-F238E27FC236}">
                  <a16:creationId xmlns:a16="http://schemas.microsoft.com/office/drawing/2014/main" id="{E88F6F9E-2732-8E45-D394-110A4620A99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495918" y="8939880"/>
              <a:ext cx="1273325" cy="233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565720</xdr:colOff>
      <xdr:row>40</xdr:row>
      <xdr:rowOff>4040</xdr:rowOff>
    </xdr:from>
    <xdr:to>
      <xdr:col>8</xdr:col>
      <xdr:colOff>196067</xdr:colOff>
      <xdr:row>55</xdr:row>
      <xdr:rowOff>49520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0" name="Tinta 39">
              <a:extLst>
                <a:ext uri="{FF2B5EF4-FFF2-40B4-BE49-F238E27FC236}">
                  <a16:creationId xmlns:a16="http://schemas.microsoft.com/office/drawing/2014/main" id="{8167EB3A-6C1E-3E43-19C2-B5A4DAC0E4B4}"/>
                </a:ext>
              </a:extLst>
            </xdr14:cNvPr>
            <xdr14:cNvContentPartPr/>
          </xdr14:nvContentPartPr>
          <xdr14:nvPr macro=""/>
          <xdr14:xfrm>
            <a:off x="9963720" y="8132040"/>
            <a:ext cx="460080" cy="3093480"/>
          </xdr14:xfrm>
        </xdr:contentPart>
      </mc:Choice>
      <mc:Fallback xmlns="">
        <xdr:pic>
          <xdr:nvPicPr>
            <xdr:cNvPr id="40" name="Tinta 39">
              <a:extLst>
                <a:ext uri="{FF2B5EF4-FFF2-40B4-BE49-F238E27FC236}">
                  <a16:creationId xmlns:a16="http://schemas.microsoft.com/office/drawing/2014/main" id="{8167EB3A-6C1E-3E43-19C2-B5A4DAC0E4B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954713" y="8123400"/>
              <a:ext cx="477734" cy="311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242867</xdr:colOff>
      <xdr:row>53</xdr:row>
      <xdr:rowOff>200320</xdr:rowOff>
    </xdr:from>
    <xdr:to>
      <xdr:col>9</xdr:col>
      <xdr:colOff>37373</xdr:colOff>
      <xdr:row>55</xdr:row>
      <xdr:rowOff>56720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1" name="Tinta 40">
              <a:extLst>
                <a:ext uri="{FF2B5EF4-FFF2-40B4-BE49-F238E27FC236}">
                  <a16:creationId xmlns:a16="http://schemas.microsoft.com/office/drawing/2014/main" id="{52C17275-D500-E60C-2646-9A2C366F9808}"/>
                </a:ext>
              </a:extLst>
            </xdr14:cNvPr>
            <xdr14:cNvContentPartPr/>
          </xdr14:nvContentPartPr>
          <xdr14:nvPr macro=""/>
          <xdr14:xfrm>
            <a:off x="10470600" y="10969920"/>
            <a:ext cx="624240" cy="262800"/>
          </xdr14:xfrm>
        </xdr:contentPart>
      </mc:Choice>
      <mc:Fallback xmlns="">
        <xdr:pic>
          <xdr:nvPicPr>
            <xdr:cNvPr id="41" name="Tinta 40">
              <a:extLst>
                <a:ext uri="{FF2B5EF4-FFF2-40B4-BE49-F238E27FC236}">
                  <a16:creationId xmlns:a16="http://schemas.microsoft.com/office/drawing/2014/main" id="{52C17275-D500-E60C-2646-9A2C366F980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461960" y="10961280"/>
              <a:ext cx="641880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1091960</xdr:colOff>
      <xdr:row>54</xdr:row>
      <xdr:rowOff>168480</xdr:rowOff>
    </xdr:from>
    <xdr:to>
      <xdr:col>8</xdr:col>
      <xdr:colOff>473627</xdr:colOff>
      <xdr:row>59</xdr:row>
      <xdr:rowOff>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5E176D5A-9AAD-E45C-461C-65EF0272BCBE}"/>
                </a:ext>
              </a:extLst>
            </xdr14:cNvPr>
            <xdr14:cNvContentPartPr/>
          </xdr14:nvContentPartPr>
          <xdr14:nvPr macro=""/>
          <xdr14:xfrm>
            <a:off x="8305560" y="11141280"/>
            <a:ext cx="2395800" cy="853200"/>
          </xdr14:xfrm>
        </xdr:contentPart>
      </mc:Choice>
      <mc:Fallback xmlns="">
        <xdr:pic>
          <xdr:nvPicPr>
            <xdr:cNvPr id="49" name="Tinta 48">
              <a:extLst>
                <a:ext uri="{FF2B5EF4-FFF2-40B4-BE49-F238E27FC236}">
                  <a16:creationId xmlns:a16="http://schemas.microsoft.com/office/drawing/2014/main" id="{5E176D5A-9AAD-E45C-461C-65EF0272BCB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296560" y="11132276"/>
              <a:ext cx="2413440" cy="8708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388880</xdr:colOff>
      <xdr:row>38</xdr:row>
      <xdr:rowOff>47560</xdr:rowOff>
    </xdr:from>
    <xdr:to>
      <xdr:col>10</xdr:col>
      <xdr:colOff>48240</xdr:colOff>
      <xdr:row>48</xdr:row>
      <xdr:rowOff>109680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076B3104-7EF2-FC75-893E-EFEC628917FD}"/>
                </a:ext>
              </a:extLst>
            </xdr14:cNvPr>
            <xdr14:cNvContentPartPr/>
          </xdr14:nvContentPartPr>
          <xdr14:nvPr macro=""/>
          <xdr14:xfrm>
            <a:off x="7602480" y="7769160"/>
            <a:ext cx="4332960" cy="2094120"/>
          </xdr14:xfrm>
        </xdr:contentPart>
      </mc:Choice>
      <mc:Fallback xmlns="">
        <xdr:pic>
          <xdr:nvPicPr>
            <xdr:cNvPr id="50" name="Tinta 49">
              <a:extLst>
                <a:ext uri="{FF2B5EF4-FFF2-40B4-BE49-F238E27FC236}">
                  <a16:creationId xmlns:a16="http://schemas.microsoft.com/office/drawing/2014/main" id="{076B3104-7EF2-FC75-893E-EFEC628917F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548480" y="7661160"/>
              <a:ext cx="4440600" cy="230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478013</xdr:colOff>
      <xdr:row>53</xdr:row>
      <xdr:rowOff>152800</xdr:rowOff>
    </xdr:from>
    <xdr:to>
      <xdr:col>10</xdr:col>
      <xdr:colOff>556560</xdr:colOff>
      <xdr:row>55</xdr:row>
      <xdr:rowOff>102440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B7222DF3-75DB-5E58-F74C-68BC78C4B8EE}"/>
                </a:ext>
              </a:extLst>
            </xdr14:cNvPr>
            <xdr14:cNvContentPartPr/>
          </xdr14:nvContentPartPr>
          <xdr14:nvPr macro=""/>
          <xdr14:xfrm>
            <a:off x="11535480" y="10922400"/>
            <a:ext cx="908280" cy="356040"/>
          </xdr14:xfrm>
        </xdr:contentPart>
      </mc:Choice>
      <mc:Fallback xmlns="">
        <xdr:pic>
          <xdr:nvPicPr>
            <xdr:cNvPr id="60" name="Tinta 59">
              <a:extLst>
                <a:ext uri="{FF2B5EF4-FFF2-40B4-BE49-F238E27FC236}">
                  <a16:creationId xmlns:a16="http://schemas.microsoft.com/office/drawing/2014/main" id="{B7222DF3-75DB-5E58-F74C-68BC78C4B8E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1526840" y="10913760"/>
              <a:ext cx="925920" cy="37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340133</xdr:colOff>
      <xdr:row>51</xdr:row>
      <xdr:rowOff>87960</xdr:rowOff>
    </xdr:from>
    <xdr:to>
      <xdr:col>10</xdr:col>
      <xdr:colOff>192600</xdr:colOff>
      <xdr:row>52</xdr:row>
      <xdr:rowOff>158720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1" name="Tinta 60">
              <a:extLst>
                <a:ext uri="{FF2B5EF4-FFF2-40B4-BE49-F238E27FC236}">
                  <a16:creationId xmlns:a16="http://schemas.microsoft.com/office/drawing/2014/main" id="{2B7D5CE8-16D1-42DF-6EF4-E6233AF6722F}"/>
                </a:ext>
              </a:extLst>
            </xdr14:cNvPr>
            <xdr14:cNvContentPartPr/>
          </xdr14:nvContentPartPr>
          <xdr14:nvPr macro=""/>
          <xdr14:xfrm>
            <a:off x="11397600" y="10451160"/>
            <a:ext cx="682200" cy="273960"/>
          </xdr14:xfrm>
        </xdr:contentPart>
      </mc:Choice>
      <mc:Fallback xmlns="">
        <xdr:pic>
          <xdr:nvPicPr>
            <xdr:cNvPr id="61" name="Tinta 60">
              <a:extLst>
                <a:ext uri="{FF2B5EF4-FFF2-40B4-BE49-F238E27FC236}">
                  <a16:creationId xmlns:a16="http://schemas.microsoft.com/office/drawing/2014/main" id="{2B7D5CE8-16D1-42DF-6EF4-E6233AF6722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1388960" y="10442172"/>
              <a:ext cx="699840" cy="2915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633240</xdr:colOff>
      <xdr:row>52</xdr:row>
      <xdr:rowOff>23720</xdr:rowOff>
    </xdr:from>
    <xdr:to>
      <xdr:col>11</xdr:col>
      <xdr:colOff>608107</xdr:colOff>
      <xdr:row>54</xdr:row>
      <xdr:rowOff>123480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2" name="Tinta 61">
              <a:extLst>
                <a:ext uri="{FF2B5EF4-FFF2-40B4-BE49-F238E27FC236}">
                  <a16:creationId xmlns:a16="http://schemas.microsoft.com/office/drawing/2014/main" id="{E59D6F15-D52D-F956-34EC-07B156037C67}"/>
                </a:ext>
              </a:extLst>
            </xdr14:cNvPr>
            <xdr14:cNvContentPartPr/>
          </xdr14:nvContentPartPr>
          <xdr14:nvPr macro=""/>
          <xdr14:xfrm>
            <a:off x="12520440" y="10590120"/>
            <a:ext cx="804600" cy="506160"/>
          </xdr14:xfrm>
        </xdr:contentPart>
      </mc:Choice>
      <mc:Fallback xmlns="">
        <xdr:pic>
          <xdr:nvPicPr>
            <xdr:cNvPr id="62" name="Tinta 61">
              <a:extLst>
                <a:ext uri="{FF2B5EF4-FFF2-40B4-BE49-F238E27FC236}">
                  <a16:creationId xmlns:a16="http://schemas.microsoft.com/office/drawing/2014/main" id="{E59D6F15-D52D-F956-34EC-07B156037C67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2511440" y="10581120"/>
              <a:ext cx="822240" cy="52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393227</xdr:colOff>
      <xdr:row>36</xdr:row>
      <xdr:rowOff>103320</xdr:rowOff>
    </xdr:from>
    <xdr:to>
      <xdr:col>4</xdr:col>
      <xdr:colOff>393587</xdr:colOff>
      <xdr:row>36</xdr:row>
      <xdr:rowOff>103680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3" name="Tinta 62">
              <a:extLst>
                <a:ext uri="{FF2B5EF4-FFF2-40B4-BE49-F238E27FC236}">
                  <a16:creationId xmlns:a16="http://schemas.microsoft.com/office/drawing/2014/main" id="{160C5D51-8E58-E10F-9327-16CE7F6D7934}"/>
                </a:ext>
              </a:extLst>
            </xdr14:cNvPr>
            <xdr14:cNvContentPartPr/>
          </xdr14:nvContentPartPr>
          <xdr14:nvPr macro=""/>
          <xdr14:xfrm>
            <a:off x="4829760" y="7418520"/>
            <a:ext cx="360" cy="360"/>
          </xdr14:xfrm>
        </xdr:contentPart>
      </mc:Choice>
      <mc:Fallback xmlns="">
        <xdr:pic>
          <xdr:nvPicPr>
            <xdr:cNvPr id="63" name="Tinta 62">
              <a:extLst>
                <a:ext uri="{FF2B5EF4-FFF2-40B4-BE49-F238E27FC236}">
                  <a16:creationId xmlns:a16="http://schemas.microsoft.com/office/drawing/2014/main" id="{160C5D51-8E58-E10F-9327-16CE7F6D793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821120" y="74095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18T23:44:07.144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3:29.1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1673 24575,'14'-2'0,"12"-5"0,21-8 0,25-10 0,-26 10 0,3-2 0,8-2 0,2 0 0,0 0 0,1-1 0,4 0 0,-1-1 0,1 0 0,0 0 0,-1 1 0,-1 1 0,4-1 0,-1 0 0,-6 3 0,0 0 0,0-2 0,0 0 0,0-2 0,-1-2 0,-3-1 0,0-1 0,1-1 0,1-1 0,-4 0 0,1 0 0,0 1 0,0 0 0,0 1 0,1 1 0,1 0 0,0 1 0,1 0 0,0 1 0,2-1 0,1 0 0,1-1 0,1-1 0,-1 0 0,0-2 0,2-1 0,1-1 0,2-4 0,1-1 0,3-3 0,1 0 0,4-3 0,0 0 0,-2 0 0,-1 2 0,-4 3 0,-1 1 0,-3 1 0,-2 2 0,-6 4 0,-1 1 0,-3 2 0,-1 0 0,38-18 0,-17 6 0,-13 6 0,-17 9 0,-15 8 0,-15 7 0,-7 4 0,-4 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3:32.75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2724 24575,'15'-5'0,"6"-5"0,8-5 0,0-2 0,4-2 0,-1 2 0,1-3 0,4-5 0,-3-1 0,1-6 0,2-6 0,1-5 0,0-2 0,-4-2 0,-4 0 0,-3-2 0,-5-7 0,-4 0 0,-3 3 0,-3 2 0,-2 2 0,-2-2 0,-3-2 0,-1-2 0,-2 0 0,0 0 0,0 1 0,0 2 0,0-3 0,-1-2 0,1-1 0,0-1 0,2-2 0,1-6 0,0-7 0,0-5 0,-2 0 0,-1 2 0,0 5 0,0 5 0,2 4 0,2 0 0,2 5 0,4 2 0,3 5 0,2 6 0,2 3 0,1 6 0,0 3 0,-1 5 0,-3 4 0,2 1 0,1 2 0,4 0 0,3 2 0,4 1 0,3 1 0,0 3 0,1 3 0,0 2 0,2 2 0,2 3 0,2 1 0,0 1 0,-2 1 0,-4 1 0,-4 0 0,-3 1 0,1 2 0,1 4 0,1 5 0,2 3 0,0 2 0,1 1 0,1 2 0,1-1 0,2 0 0,1-1 0,-2-1 0,1 2 0,-1-1 0,0 1 0,0 2 0,-1 1 0,-1 1 0,-3 0 0,-1-1 0,-3 1 0,-2 0 0,0-1 0,2 0 0,3 0 0,4 2 0,4 2 0,3-1 0,-3-1 0,-2-2 0,-7-4 0,-4-4 0,-3-1 0,-4-1 0,3 2 0,2 2 0,8 1 0,6-2 0,8 0 0,6-3 0,2-2 0,1-3 0,-2-4 0,-1-1 0,-1 0 0,0 0 0,-1 1 0,2 2 0,2-1 0,1 1 0,-2-2 0,-4-1 0,-6-1 0,-5-1 0,-1 0 0,-1 0 0,1 0 0,7-1 0,6-2 0,7-4 0,-1-4 0,-4-1 0,-9 1 0,-5 1 0,-4 2 0,-2-1 0,-3 3 0,-1 2 0,-1 0 0,-4 1 0,-2 0 0,-3-1 0,-2 0 0,0-2 0,1-1 0,0 0 0,1 0 0,0 3 0,-2 1 0,-7 2 0,-2 1 0</inkml:trace>
  <inkml:trace contextRef="#ctx0" brushRef="#br0" timeOffset="2949">759 0 24575,'19'22'0,"22"26"0,-6-8 0,4 5 0,18 20 0,6 7 0,-11-13 0,2 3 0,3 3-739,-9-8 1,2 2 0,1 3 0,2 2 738,-4-2 0,1 2 0,2 1 0,0 3 0,1 0-471,4 7 1,1 2 0,0 1 0,0 1 0,1 1 470,-8-10 0,1 1 0,0 1 0,0 1 0,-1-1 0,1 0 0,-1 0 0,1 1 0,-1-1 0,0 1 0,-1-2 0,1 0 0,6 10 0,0-1 0,-1 0 0,1-1 0,-1 0-445,1 0 0,0 0 1,-1 0-1,1-1 1,-1 0 444,-1-4 0,0 0 0,-1-1 0,1 0 0,0 0 0,-1 0 0,0-1 0,1 0 0,-1 0 0,0-2-242,-4-3 1,1-1 0,-1-1 0,-1-1-1,0-1 242,5 7 0,-2-2 0,0-1 0,-1-1 232,-4-5 1,0-1 0,-1-2 0,-1-1-233,6 5 0,-1-2 0,-2-2 1273,14 14 0,-4-4-1273,-9-13 0,-3-5 2612,21 20-2612,-19-20 1832,-19-19-1832,-8-6 813,-7-4-813,0-1 0,-2-1 0,-4-5 0,-1-2 0,-1 0 0,2 2 0,3 8 0,2 6 0,4 3 0,6 0 0,5 2 0,6 2 0,4 3 0,0-2 0,-5-6 0,-8-9 0,-9-7 0,-8-7 0,-5-5 0</inkml:trace>
  <inkml:trace contextRef="#ctx0" brushRef="#br0" timeOffset="5493">2172 2716 24575,'0'-39'0,"0"-6"0,0-11 0,0 3 0,0 6 0,0 17 0,0 14 0,0 16 0,0 18 0,0 7 0,2 9 0,4-1 0,4-5 0,1-3 0,0-9 0,0-9 0,-2-3 0,0-3 0,0-3 0,1-2 0,4-6 0,1-6 0,1-7 0,-3-6 0,-6-3 0,-3 0 0,-4 3 0,-1 7 0,-1 9 0,0 11 0,3 11 0,3 5 0,4 4 0,2 1 0,0-2 0,0 1 0,-2-7 0,-2-4 0,-1-5 0,-1-2 0,0 0 0,1 0 0,0 0 0,1 0 0,0 0 0,2 0 0,-4 0 0,0 0 0</inkml:trace>
  <inkml:trace contextRef="#ctx0" brushRef="#br0" timeOffset="6914">3093 1692 24575,'19'15'0,"-2"1"0,-1 0 0,-3-5 0,-7-4 0,-2-4 0</inkml:trace>
  <inkml:trace contextRef="#ctx0" brushRef="#br0" timeOffset="7892">3437 1891 24575,'0'24'0,"0"0"0,0 1 0,0-4 0,3-5 0,6-7 0,4-5 0,5-3 0,-1-1 0,-3-2 0,-1-3 0,-5-9 0,-3-9 0,-2-8 0,-4-2 0,-5 2 0,-5 7 0,-3 5 0,-1 7 0,3 6 0,4 2 0,4 1 0,1-2 0,3-5 0,12-12 0,15-11 0,14-7 0,5 0 0,-6 11 0,-13 10 0,-15 11 0,-5 4 0</inkml:trace>
  <inkml:trace contextRef="#ctx0" brushRef="#br0" timeOffset="8911">1333 2498 24575,'2'15'0,"3"4"0,2 2 0,-2-7 0,-2-6 0</inkml:trace>
  <inkml:trace contextRef="#ctx0" brushRef="#br0" timeOffset="9573">1224 3033 24575,'12'-9'0,"4"1"0,4-1 0,0 4 0,-2 3 0,-5 1 0,-6 1 0,-3 0 0</inkml:trace>
  <inkml:trace contextRef="#ctx0" brushRef="#br0" timeOffset="10739">1404 2918 24575,'7'8'0,"7"3"0,6 3 0,2-2 0,0-2 0,-3-3 0,-4-4 0,-1-1 0,-6-4 0,-5-3 0,-1-8 0,-2-12 0,-3-5 0,-5-2 0,-6 6 0,-5 10 0,-3 6 0,1 6 0,4 3 0,6 0 0,6-3 0,4-6 0,4-9 0,7-9 0,7-6 0,3-2 0,0 4 0,-4 9 0,-4 9 0,-4 7 0,0 3 0,-1 2 0,-1 0 0,-1 1 0,-1-1 0,-2 0 0,0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3:55.4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141 5 24575,'-3'-4'0,"2"5"0,0 12 0,1 22 0,0 16 0,0 7 0,0-6 0,0-15 0,0-13 0,0-12 0,0-8 0</inkml:trace>
  <inkml:trace contextRef="#ctx0" brushRef="#br0" timeOffset="737">89 6 24575,'8'-3'0,"12"1"0,18 2 0,10 0 0,5 0 0,-5 3 0,-4 5 0,-12 6 0,-12 5 0,-9 1 0,-6 2 0,-3 3 0,-4 6 0,-6 4 0,-7 2 0,-8-2 0,-5-6 0,-1-8 0,-6-8 0,-3-8 0,-10-2 0,-5-5 0,2-3 0,9-2 0,16-1 0,13 2 0,8 4 0,4 1 0</inkml:trace>
  <inkml:trace contextRef="#ctx0" brushRef="#br0" timeOffset="1311">641 4 24575,'0'8'0,"0"22"0,0 34 0,0 19 0,0 6 0,0-11 0,0-22 0,0-18 0,0-23 0,0-18 0,0-11 0</inkml:trace>
  <inkml:trace contextRef="#ctx0" brushRef="#br0" timeOffset="1830">629 27 24575,'24'-12'0,"3"2"0,6 10 0,4 0 0,-5 0 0,-7 0 0,-10 3 0,-8 7 0,-5 8 0,-5 6 0,-6 2 0,-7-4 0,-4-6 0,-4-3 0,-1-5 0,0-1 0,3-3 0,10-2 0,6-1 0</inkml:trace>
  <inkml:trace contextRef="#ctx0" brushRef="#br0" timeOffset="3049">936 365 24575,'3'8'0,"-2"7"0,0 12 0,-1 10 0,0 7 0,0-1 0,0-10 0,0-14 0,0-14 0,0-22 0,-2-19 0,-1-15 0,-1-4 0,1 10 0,5 19 0,10 24 0,9 19 0,7 12 0,2 1 0,-2-6 0,-5-9 0,-1-8 0,-1-4 0,2-9 0,3-10 0,0-9 0,-2-7 0,-4 4 0,-6 9 0,-5 10 0,-2 16 0,-1 22 0,1 20 0,0 16 0,0-3 0,0-11 0,-1-14 0,0-14 0,-2-9 0,-1-7 0,-2-3 0</inkml:trace>
  <inkml:trace contextRef="#ctx0" brushRef="#br0" timeOffset="5470">1672 35 24575,'39'0'0,"4"0"0,8 0 0,-6 0 0,-18 0 0,-12 0 0</inkml:trace>
  <inkml:trace contextRef="#ctx0" brushRef="#br0" timeOffset="6026">1684 112 24575,'28'0'0,"3"0"0,10 0 0,2 0 0,-5 0 0,-6 0 0,-15 0 0,-8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4:03.6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1 663 24575,'0'-24'0,"2"-16"0,6-21 0,6-14 0,5-3 0,-3 7 0,-4 15 0,-7 22 0,-3 25 0,-1 26 0,-1 25 0,0 22 0,0 13 0,3 0 0,1-11 0,3-19 0,-1-16 0,-2-17 0,-3-7 0</inkml:trace>
  <inkml:trace contextRef="#ctx0" brushRef="#br0" timeOffset="397">251 667 24575,'5'13'0,"-2"5"0,0 9 0,-3 5 0,0 2 0,0-7 0,0-12 0,0-8 0</inkml:trace>
  <inkml:trace contextRef="#ctx0" brushRef="#br0" timeOffset="1128">425 128 24575,'0'37'0,"0"7"0,0 10 0,0-5 0,0-12 0,0-12 0,1-10 0,1-5 0,4-2 0,7-2 0,10-2 0,9-3 0,7-1 0,1 0 0,-2-3 0,-8-3 0,-12 2 0,-9 0 0</inkml:trace>
  <inkml:trace contextRef="#ctx0" brushRef="#br0" timeOffset="1511">667 167 24575,'0'41'0,"0"20"0,0 23 0,0 11 0,0-3 0,0-15 0,0-17 0,0-18 0,0-22 0,0-10 0</inkml:trace>
  <inkml:trace contextRef="#ctx0" brushRef="#br0" timeOffset="2267">987 216 24575,'-15'0'0,"-3"0"0,-8 0 0,0 4 0,-3 15 0,11 19 0,9 21 0,6 10 0,11 2 0,14-8 0,13-12 0,11-13 0,3-18 0,-2-11 0,-3-9 0,-6-12 0,-11-14 0,-10-12 0,-10-5 0,-11 5 0,-11 12 0,-15 11 0,-12 8 0,-5 12 0,3 15 0,10 13 0,12 11 0,13 2 0,7-6 0,7-7 0,-4-16 0,4-7 0</inkml:trace>
  <inkml:trace contextRef="#ctx0" brushRef="#br0" timeOffset="3105">1263 141 24575,'0'15'0,"3"10"0,6 8 0,8-1 0,6-11 0,-2-15 0,-6-18 0,-7-15 0,-5-14 0,-7-2 0,-5 8 0,-5 13 0,1 12 0,15 7 0,26-1 0,28-4 0,23-9 0,5-4 0,-13 4 0,-20 5 0,-23 17 0,-24 29 0,-25 37 0,-1-16 0,-4 3 0,-6 9 0,-1 0 0,-2 2 0,0-2 0,5-6 0,1-2 0,8-11 0,2-3 0,-6 22 0,15-25 0,12-20 0,-1-14 0,2-5 0</inkml:trace>
  <inkml:trace contextRef="#ctx0" brushRef="#br0" timeOffset="3609">1549 683 24575,'0'10'0,"1"0"0,8 1 0,14-2 0,9-4 0,6-3 0,-6-2 0,-14-5 0,-8-6 0,-10-3 0,-14 0 0,-15 7 0,-12 3 0,-4 11 0,19-6 0,9 6 0</inkml:trace>
  <inkml:trace contextRef="#ctx0" brushRef="#br0" timeOffset="4437">2146 346 24575,'0'35'0,"0"-2"0,0 9 0,0 1 0,0-8 0,0-11 0,0-35 0,0-37 0,0-30 0,0-13 0,0 5 0,2 17 0,2 24 0,4 21 0,3 20 0,3 23 0,2 23 0,1 21 0,0 14 0,-2-4 0,-5-10 0,-5-29 0,-3-13 0</inkml:trace>
  <inkml:trace contextRef="#ctx0" brushRef="#br0" timeOffset="5424">2083 387 24575,'31'0'0,"15"0"0,17 0 0,8 0 0,-7 0 0,-15 0 0,-18 0 0,-15 1 0,-10 9 0,-5 17 0,-1 22 0,0 17 0,0-1 0,0-13 0,0-25 0,0-34 0,0-33 0,0-21 0,0-5 0,0 15 0,1 21 0,3 19 0,5 17 0,9 10 0,11 2 0,10-6 0,3-19 0,-2-19 0,-7-8 0,-7 4 0,-5 15 0,-4 22 0,0 20 0,-2 13 0,-2 4 0,-3-8 0,-3-11 0,-3-8 0,-2-9 0,0-3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4:13.98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121 301 24575,'0'19'0,"0"8"0,0 11 0,0 10 0,0 5 0,0-4 0,0-6 0,0-9 0,0-10 0,0-8 0,0-10 0,0-3 0</inkml:trace>
  <inkml:trace contextRef="#ctx0" brushRef="#br0" timeOffset="852">1 284 24575,'17'0'0,"7"0"0,11 0 0,4 0 0,0 0 0,0 6 0,-3 9 0,-3 12 0,-6 10 0,-8 0 0,-7 1 0,-8-3 0,-3-1 0,-5 0 0,-4-3 0,-5-3 0,-4-5 0,-4-4 0,-2-2 0,-4-3 0,0-2 0,1-3 0,4-2 0,5-2 0,8-3 0,4 0 0</inkml:trace>
  <inkml:trace contextRef="#ctx0" brushRef="#br0" timeOffset="1610">473 329 24575,'0'56'0,"0"9"0,0 17 0,0-3 0,0-18 0,0-23 0,0-35 0,0-4 0,0-13 0</inkml:trace>
  <inkml:trace contextRef="#ctx0" brushRef="#br0" timeOffset="2094">473 313 24575,'1'-16'0,"2"0"0,4 1 0,8 4 0,9 5 0,11 4 0,7 0 0,1 1 0,-6 4 0,-11 6 0,-13 10 0,-8 9 0,-10 1 0,-13-2 0,-10-4 0,-9-4 0,0-3 0,4-3 0,15-7 0,7 0 0</inkml:trace>
  <inkml:trace contextRef="#ctx0" brushRef="#br0" timeOffset="3217">773 797 24575,'0'67'0,"0"-16"0,0-58 0,0-15 0,0-11 0,0-12 0,1-4 0,6-2 0,5 1 0,3 7 0,0 13 0,-2 11 0,-1 13 0,3 15 0,0 24 0,-1 24 0,-2 22 0,-6 6 0,-3-10 0,-1-18 0,-2-20 0,0-21 0,0-9 0</inkml:trace>
  <inkml:trace contextRef="#ctx0" brushRef="#br0" timeOffset="3635">753 865 24575,'13'-3'0,"9"1"0,14 2 0,10 0 0,2 0 0,-7-1 0,-11 0 0,-12-1 0,-11 1 0,-3 1 0</inkml:trace>
  <inkml:trace contextRef="#ctx0" brushRef="#br0" timeOffset="4582">1073 736 24575,'0'29'0,"0"0"0,0 3 0,0-7 0,0-8 0,0-10 0,0-12 0,0-9 0,0-9 0,0-3 0,0 5 0,1 4 0,6 9 0,12 12 0,14 10 0,10 9 0,3 2 0,-4-5 0,-11-5 0,-9-7 0,-8-4 0,-5-5 0,-2-6 0,-2-8 0,-1-9 0,-3-7 0,-1-3 0,0 2 0,0 7 0,0 13 0,0 5 0</inkml:trace>
  <inkml:trace contextRef="#ctx0" brushRef="#br0" timeOffset="5341">1507 647 24575,'0'17'0,"0"8"0,0 8 0,1 3 0,7-3 0,6-7 0,7-7 0,6-8 0,0-5 0,-2-4 0,-3-2 0,-5-6 0,-4-6 0,-5-8 0,-4-10 0,-3-6 0,-1-2 0,-1 3 0,-3 8 0,1 13 0,0 7 0</inkml:trace>
  <inkml:trace contextRef="#ctx0" brushRef="#br0" timeOffset="6909">2073 741 24575,'-11'0'0,"-2"0"0,-5 0 0,-4 0 0,-1 0 0,-1-1 0,1 3 0,4 5 0,7 2 0,6 3 0,5 2 0,1-1 0,0 4 0,4 1 0,9-1 0,8-3 0,5-5 0,1-4 0,-4-7 0,-3-10 0,-3-9 0,-3-9 0,-2-1 0,-4 3 0,-3 8 0,-4 11 0,-1 14 0,0 12 0,0 12 0,3 6 0,3 1 0,6-1 0,8-8 0,5-8 0,4-8 0,3-13 0,5-20 0,8-29 0,5-27 0,-23 28 0,-2-3 0,0-7 0,-4-3 0,-3 0 0,-4-1 0,-3 0 0,-4 1 0,-2 6 0,-3 3 0,-7-30 0,-12 24 0,-11 27 0,-8 18 0,0 14 0,2 22 0,10 33 0,9 44 0,16-32 0,5 5 0,8 11 0,5 0 0,5 0 0,4-2 0,3-7 0,2-3 0,-4-12 0,0-5 0,16 18 0,-12-27 0,-15-24 0,-10-13 0,-5-5 0</inkml:trace>
  <inkml:trace contextRef="#ctx0" brushRef="#br0" timeOffset="7428">2829 546 24575,'21'0'0,"8"0"0,12 0 0,8 0 0,-2 0 0,-8 0 0,-18 0 0,-10 0 0</inkml:trace>
  <inkml:trace contextRef="#ctx0" brushRef="#br0" timeOffset="7968">2827 687 24575,'13'0'0,"16"0"0,21 0 0,15 0 0,1 0 0,-14 0 0,-26 0 0,-14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4:25.17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54 457 24575,'0'50'0,"0"17"0,0 16 0,0-4 0,0-6 0,0-17 0,0-16 0,0-14 0,0-28 0,0-1 0,0-7 0</inkml:trace>
  <inkml:trace contextRef="#ctx0" brushRef="#br0" timeOffset="552">35 390 24575,'20'0'0,"12"0"0,14 0 0,8 4 0,-3 9 0,-11 9 0,-14 9 0,-12 4 0,-8 2 0,-11 4 0,-15 3 0,-14 2 0,-10-1 0,-3-3 0,3-4 0,7-5 0,5-6 0,6-7 0,8-5 0,8-7 0,4-4 0</inkml:trace>
  <inkml:trace contextRef="#ctx0" brushRef="#br0" timeOffset="1918">471 600 24575,'0'-4'0,"0"24"0,0 20 0,0 25 0,0 8 0,0-17 0,0-20 0,0-25 0,0-18 0,0-10 0,0 1 0,0 3 0,0 3 0,0 1 0,0-5 0,0-9 0,0-13 0,0-15 0,0-10 0,0 0 0,0 4 0,0 15 0,1 13 0,2 12 0,3 11 0,6 3 0,3 3 0,11 0 0,10 1 0,5 3 0,1 4 0,-12 4 0,-12 5 0,-12 4 0,-16 5 0,-18 6 0,-17 3 0,-9 1 0,1-6 0,10-8 0,12-5 0,16-11 0,8-1 0</inkml:trace>
  <inkml:trace contextRef="#ctx0" brushRef="#br0" timeOffset="3255">685 1026 24575,'0'7'0,"0"-1"0,0 7 0,0 8 0,0 9 0,0 8 0,0 0 0,0-9 0,0-11 0,0-16 0,0-20 0,0-19 0,0-19 0,0-4 0,0 7 0,1 18 0,3 18 0,5 15 0,7 12 0,4 5 0,4 4 0,-1-3 0,2-7 0,0-8 0,2-13 0,2-12 0,-4-7 0,-2 2 0,-7 10 0,-5 11 0,-3 18 0,0 19 0,0 17 0,2 11 0,3-3 0,0-11 0,-3-13 0,-1-13 0,-3-8 0,-3-4 0,-1-1 0,-2 0 0,1 2 0,-1-1 0,0-2 0,0 0 0</inkml:trace>
  <inkml:trace contextRef="#ctx0" brushRef="#br0" timeOffset="5199">1504 600 24575,'-9'0'0,"-1"4"0,-5 5 0,-3 6 0,-1 4 0,2 0 0,8-8 0,4-4 0</inkml:trace>
  <inkml:trace contextRef="#ctx0" brushRef="#br0" timeOffset="5693">1392 618 24575,'17'4'0,"8"5"0,5 3 0,-1 3 0,-9-5 0,-7-2 0,-7-5 0,-3-1 0</inkml:trace>
  <inkml:trace contextRef="#ctx0" brushRef="#br0" timeOffset="6643">1845 653 24575,'14'17'0,"0"4"0,-1 3 0,-3 1 0,-3-6 0,-3-6 0,-2-6 0,-1-7 0,0-11 0,-1-5 0,1-19 0,4-14 0,10-14 0,9-15 0,6 1 0,0-1 0,-5 5 0,-5 5 0,-5 7 0,-5 12 0,-3 12 0,-4 17 0,-2 10 0</inkml:trace>
  <inkml:trace contextRef="#ctx0" brushRef="#br0" timeOffset="7594">2093 0 24575,'32'0'0,"23"0"0,39 0 0,-32 0 0,4 0 0,8 0 0,1 0 0,1 0 0,0 0 0,-4 0 0,-1 0 0,-10 0 0,-3 0 0,30 0 0,-29 0 0,-32 0 0,-17 0 0</inkml:trace>
  <inkml:trace contextRef="#ctx0" brushRef="#br0" timeOffset="8629">2212 611 24575,'12'-33'0,"5"-1"0,4-10 0,6-3 0,1 1 0,-3 3 0,-6 14 0,-10 15 0,-5 16 0,-3 24 0,-1 13 0,0 22 0,0 20 0,0 6 0,0-1 0,0-21 0,0-24 0,0-21 0,0-10 0</inkml:trace>
  <inkml:trace contextRef="#ctx0" brushRef="#br0" timeOffset="10076">2526 471 24575,'5'-9'0,"-1"3"0,2 1 0,-1 4 0,8 1 0,4 0 0,2 0 0,-2 0 0,-5 0 0,-4 1 0,-4 6 0,-2 8 0,-5 8 0,-7 8 0,-7-1 0,-7 0 0,-3-4 0,0-4 0,2-2 0,3-2 0,6-5 0,7-1 0,6-2 0,3-3 0,7-2 0,12-3 0,6-2 0,7-3 0,1-2 0,-1-1 0,3 0 0,-5 0 0,-3 1 0,-2 3 0,0 0 0,0 2 0,0 0 0,-5 0 0,-4 0 0,-3 0 0,-5-1 0,-3 0 0,-2-1 0,-2 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4:50.95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27 96 24575,'-3'-10'0,"2"2"0,0 0 0,1 5 0,0 4 0,0 11 0,0 6 0,0 7 0,0 7 0,0 0 0,0 3 0,0-5 0,0-6 0,0-6 0,0-10 0,0-4 0</inkml:trace>
  <inkml:trace contextRef="#ctx0" brushRef="#br0" timeOffset="717">0 39 24575,'3'-11'0,"10"2"0,12 8 0,13 1 0,2 0 0,-4 0 0,-3 1 0,-7 7 0,-5 5 0,-8 8 0,-6 4 0,-3 1 0,-2 3 0,-4 4 0,-6 4 0,-8 1 0,-5-3 0,-4-9 0,0-7 0,-4-7 0,-2-5 0,0-2 0,3-3 0,13-1 0,6-1 0</inkml:trace>
  <inkml:trace contextRef="#ctx0" brushRef="#br0" timeOffset="1487">389 46 24575,'8'1'0,"-1"1"0,-1 3 0,-3 3 0,-1 7 0,-2 8 0,0 4 0,0 5 0,0-4 0,0-6 0,0-6 0,0-9 0,0-7 0,0-5 0</inkml:trace>
  <inkml:trace contextRef="#ctx0" brushRef="#br0" timeOffset="2145">415 5 24575,'5'-3'0,"3"1"0,5 2 0,6 0 0,4 0 0,1 0 0,-3 0 0,-5 1 0,-5 3 0,-6 4 0,-2 4 0,-2 3 0,-5 1 0,-4 1 0,-6 0 0,-5 0 0,-4-3 0,-2-3 0,1-3 0,4-4 0,6-1 0,7-1 0,5-1 0</inkml:trace>
  <inkml:trace contextRef="#ctx0" brushRef="#br0" timeOffset="3189">643 322 24575,'0'-13'0,"0"-6"0,0-1 0,1 0 0,1 5 0,1 7 0,0 9 0,-2 11 0,-1 5 0,0 8 0,0 5 0,0 2 0,0 1 0,0-4 0,0-4 0,0-3 0,0-1 0,0-1 0,0-1 0,0-3 0,0-4 0,0-3 0,0-4 0,0-3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17.2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48 227 24575,'-7'2'0,"-1"22"0,-3 38 0,1 27 0,6-36 0,1 1 0,-1 39 0,9-31 0,7-24 0,7-24 0,3-11 0,-3-3 0,-2-9 0,-4-11 0,0-15 0,0-8 0,-2-5 0,-2-5 0,-5-4 0,-12-3 0,-12 5 0,-10 10 0,-3 13 0,6 11 0,7 9 0,9 6 0,5 2 0,4 0 0,5-2 0,9-4 0,13-9 0,12-7 0,7-5 0,0-3 0,-5 2 0,-6 5 0,-8 9 0,-12 8 0,-6 6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18.30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44 32 24575,'1'-10'0,"4"1"0,6 2 0,6 4 0,1 1 0,-2 2 0,-6 2 0,-5 9 0,-2 11 0,-9 16 0,-9 9 0,-10 1 0,-5-7 0,3-13 0,7-10 0,13-9 0,16-4 0,18-3 0,15-2 0,6-5 0,0-2 0,-7-1 0,-9 2 0,-10 3 0,-12 2 0,-6 1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20.48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24575,'19'0'0,"10"0"0,9 0 0,0 0 0,-15 0 0,-10 0 0</inkml:trace>
  <inkml:trace contextRef="#ctx0" brushRef="#br0" timeOffset="709">14 83 24575,'12'0'0,"7"0"0,5 0 0,3 0 0,-2 0 0,-6 0 0,-10 0 0,-3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22.22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 24575,'27'0'0,"20"0"0,28 0 0,14 0 0,0 0 0,-13 0 0,-23 0 0,-18 0 0,-22 0 0,-8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23.6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83 717 24575,'0'16'0,"0"16"0,0 16 0,0 8 0,0-3 0,-1-13 0,2-12 0,7-10 0,4-9 0,5-5 0,0-2 0,-3-2 0,-2-2 0,-3-7 0,-2-11 0,-3-14 0,-5-12 0,-10-1 0,-8 3 0,-7 10 0,0 10 0,-1 6 0,3 5 0,3 2 0,6 2 0,6 2 0,5 1 0,6-4 0,10-4 0,13-5 0,12-4 0,5 1 0,0 3 0,-2 2 0,-2 0 0,-2 0 0,-6 0 0,-7 4 0,-11 6 0,-6 5 0</inkml:trace>
  <inkml:trace contextRef="#ctx0" brushRef="#br0" timeOffset="1131">360 1130 24575,'-2'-23'0,"3"1"0,3-4 0,2 4 0,-1 9 0,-3 12 0,-1 19 0,-1 12 0,0 10 0,0 2 0,0-3 0,0-6 0,3-8 0,1-7 0,0-6 0,-1-7 0,-2-1 0</inkml:trace>
  <inkml:trace contextRef="#ctx0" brushRef="#br0" timeOffset="2352">478 173 24575,'10'-6'0,"-2"3"0,3 1 0,-4 1 0,-1 1 0,-3 6 0,-2 9 0,-2 8 0,-3 3 0,0-1 0,-2-6 0,2-4 0,3-4 0,0-2 0,4-2 0,9-4 0,11 0 0,8-3 0,4 1 0,-5 1 0,-7-1 0,-11 1 0,-7-2 0</inkml:trace>
  <inkml:trace contextRef="#ctx0" brushRef="#br0" timeOffset="3087">660 734 24575,'90'0'0,"-18"0"0</inkml:trace>
  <inkml:trace contextRef="#ctx0" brushRef="#br0" timeOffset="3453">785 663 24575,'-3'11'0,"1"6"0,2 14 0,0 3 0,0-4 0,0-3 0,0-13 0,0-5 0</inkml:trace>
  <inkml:trace contextRef="#ctx0" brushRef="#br0" timeOffset="4321">998 801 24575,'2'25'0,"5"5"0,8 6 0,7-2 0,6-9 0,1-10 0,-5-7 0,-4-5 0,-6-4 0,-4-10 0,-4-10 0,-4-13 0,-3-9 0,-10-4 0,-13 0 0,-8 6 0,-4 9 0,8 11 0,10 9 0,9 5 0,8 1 0,12-4 0,21-8 0,22-8 0,17-5 0,1 1 0,-17 8 0,-19 8 0,-20 8 0,-11 4 0</inkml:trace>
  <inkml:trace contextRef="#ctx0" brushRef="#br0" timeOffset="5213">1441 811 24575,'12'2'0,"-3"5"0,-5 9 0,-3 9 0,-1 7 0,-6 5 0,-6-1 0,-3-3 0,0-8 0,7-8 0,9-8 0,11-5 0,13-2 0,10-2 0,3 0 0,-4 0 0,-9 0 0,-12 0 0,-7 0 0</inkml:trace>
  <inkml:trace contextRef="#ctx0" brushRef="#br0" timeOffset="6374">1464 0 24575,'16'0'0,"3"0"0,0 2 0,-2 3 0,-2 8 0,-6 10 0,-4 11 0,-9 8 0,-15 3 0,-8-4 0,-3-9 0,9-12 0,13-9 0,11-7 0,15-2 0,11-2 0,6 0 0,-1 0 0,-9 0 0,-12 0 0,-6 0 0</inkml:trace>
  <inkml:trace contextRef="#ctx0" brushRef="#br0" timeOffset="6847">1656 583 24575,'34'0'0,"2"0"0,7 0 0,-1 0 0,-5 0 0,-17 0 0,-8 0 0</inkml:trace>
  <inkml:trace contextRef="#ctx0" brushRef="#br0" timeOffset="7219">1849 526 24575,'0'9'0,"0"12"0,0 15 0,0 15 0,0 6 0,0-9 0,0-21 0,0-12 0</inkml:trace>
  <inkml:trace contextRef="#ctx0" brushRef="#br0" timeOffset="7586">2146 849 24575,'0'0'0</inkml:trace>
  <inkml:trace contextRef="#ctx0" brushRef="#br0" timeOffset="7820">2300 849 24575,'0'0'0</inkml:trace>
  <inkml:trace contextRef="#ctx0" brushRef="#br0" timeOffset="8036">2438 849 24575,'0'0'0</inkml:trace>
  <inkml:trace contextRef="#ctx0" brushRef="#br0" timeOffset="8536">2564 723 24575,'28'0'0,"19"0"0,19 0 0,16 0 0,-5 0 0,-17 0 0,-26 0 0,-18 0 0</inkml:trace>
  <inkml:trace contextRef="#ctx0" brushRef="#br0" timeOffset="8920">2857 546 24575,'0'98'0,"0"-48"0,0 5 0,0-1 0,0-20 0,0-16 0,0-6 0</inkml:trace>
  <inkml:trace contextRef="#ctx0" brushRef="#br0" timeOffset="9880">3090 667 24575,'3'28'0,"5"4"0,9 12 0,8-1 0,5-10 0,-2-9 0,-4-13 0,-8-8 0,-3-8 0,-2-9 0,-3-10 0,-1-7 0,-9-8 0,-15-3 0,-16 1 0,-20 0 0,-4 8 0,8 9 0,17 8 0,18 7 0,19 1 0,19-1 0,19-5 0,17-4 0,-1 0 0,-12 3 0,-16 5 0,-18 6 0,-6 2 0</inkml:trace>
  <inkml:trace contextRef="#ctx0" brushRef="#br0" timeOffset="10799">3450 883 24575,'0'29'0,"0"5"0,0 6 0,0-1 0,0-10 0,0-14 0,0-19 0,0-19 0,2-10 0,4-1 0,6 8 0,6 8 0,3 9 0,2 5 0,-2 8 0,-4 10 0,-3 13 0,-6 10 0,-3 1 0,-4-3 0,-1-8 0,0-8 0,0-9 0,0-4 0</inkml:trace>
  <inkml:trace contextRef="#ctx0" brushRef="#br0" timeOffset="12006">3352 3 24575,'15'0'0,"-3"0"0,-2 2 0,-3 7 0,-5 7 0,-5 9 0,-8 7 0,-5 0 0,-2-4 0,5-8 0,9-8 0,11-7 0,15-2 0,16-3 0,7 0 0,1 0 0,-9 0 0,-11 0 0,-6 2 0,-10 0 0,-4-1 0,-4 1 0</inkml:trace>
  <inkml:trace contextRef="#ctx0" brushRef="#br0" timeOffset="13149">189 1360 24575,'62'0'0,"-3"0"0,11 0 0,5 0 0,9 0 0,5 0-1176,-2 0 1,5 0-1,4 0 1,0 0 1175,-13 0 0,1 0 0,1 0 0,1 0 0,0 0 0,7 0 0,1 0 0,1 1 0,0-1 0,-3-1 0,-6 1 0,0 0 0,-2 0 0,-1 0 0,-2 0 0,10-1 0,-2 0 0,-2 1 0,-2-2 278,16 1 1,-2-2-1,-7 1-278,10-2 0,-8 0 446,-11 0 0,-5 0-446,-13 0 0,-3 0 0,-8 1 0,-3 1 0,31-3 2439,-23 2-2439,-21 3 0,-21 0 0,-9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38.00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15 24575,'0'56'0,"0"0"0,0 36 0,0-58 0,0-20 0,0-24 0,0-25 0,3-15 0,6-7 0,6 8 0,7 16 0,2 13 0,-2 11 0,-3 6 0,-4 2 0,-2 1 0,-4 1 0,-2 6 0,1 29 0,-3 3 0,3 24 0,-1-12 0,-1-6 0,-1-11 0,-2-10 0,-2-12 0,-1-6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45.5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 5 24575,'5'-2'0,"8"-1"0,10 3 0,5 0 0,-2 0 0,-9 3 0,-16 6 0,-16 9 0,-14 12 0,-6 5 0,6-3 0,11-7 0,13-10 0,9-8 0,13-4 0,11-2 0,9-2 0,0-2 0,-7 0 0,-7 0 0,-7 2 0,-8 1 0,-3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43.75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127 249 24575,'0'15'0,"0"6"0,0 3 0,0 10 0,0 10 0,0 10 0,5 10 0,12-5 0,18-8 0,16-13 0,3-11 0,-6-15 0,-16-16 0,-14-26 0,-14-24 0,-20-16 0,-18-5 0,-18 8 0,-7 15 0,6 13 0,12 16 0,15 10 0,10 5 0,10 3 0,4-1 0,5 0 0,9-3 0,15-1 0,16-3 0,11 0 0,-1-1 0,-10 3 0,-13 2 0,-16 5 0,-7 2 0</inkml:trace>
  <inkml:trace contextRef="#ctx0" brushRef="#br0" timeOffset="888">1 1 24575,'33'0'0,"13"0"0,19 0 0,-3 0 0,-2 0 0,-6 0 0,-10 0 0,1 0 0,-14 0 0,-9 0 0,-10 0 0,-8 0 0</inkml:trace>
  <inkml:trace contextRef="#ctx0" brushRef="#br0" timeOffset="2539">671 661 24575,'0'0'0</inkml:trace>
  <inkml:trace contextRef="#ctx0" brushRef="#br0" timeOffset="3212">805 358 24575,'8'0'0,"1"0"0,3 1 0,2 10 0,-1 16 0,0 16 0,-2 15 0,-2 1 0,-2-8 0,-4-17 0,-1-23 0,-2-54 0,0-7 0,7-29 0,7 24 0,8 12 0,8 16 0,0 13 0,-2 9 0,-5 10 0,-5 13 0,-5 18 0,-3 19 0,-1 10 0,0-1 0,0-7 0,-1-13 0,-3-15 0,-2-11 0,-2-10 0,-1-4 0</inkml:trace>
  <inkml:trace contextRef="#ctx0" brushRef="#br0" timeOffset="3684">1342 548 24575,'6'0'0,"1"0"0,8 0 0,14 0 0,12 0 0,13 0 0,1 0 0,-7 0 0,-13 0 0,-17 0 0,-10 0 0</inkml:trace>
  <inkml:trace contextRef="#ctx0" brushRef="#br0" timeOffset="4071">1450 666 24575,'30'0'0,"6"0"0,10 0 0,1 0 0,-6 0 0,-17 0 0,-12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53.27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90 24575,'0'8'0,"0"7"0,0 8 0,0 8 0,0 3 0,0-4 0,0-14 0,0-16 0,0-20 0,0-18 0,0-11 0,0-1 0,0 9 0,0 14 0,1 11 0,1 11 0,2 8 0,2 10 0,1 6 0,1 4 0,0-2 0,0-7 0,0-5 0,3-6 0,2-8 0,3-8 0,1-6 0,0-2 0,-6 5 0,-4 10 0,-4 18 0,-3 19 0,0 22 0,0 11 0,0-4 0,0-10 0,0-17 0,0-12 0,0-12 0,0-4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5:55.08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83 657 24575,'-5'28'0,"1"11"0,2 12 0,2 4 0,0-12 0,0-10 0,0-10 0,0-9 0,3-5 0,8-5 0,5-3 0,8-1 0,2-4 0,-2-8 0,-1-8 0,-7-13 0,-7-11 0,-7-9 0,-15-7 0,-17 1 0,-14 11 0,-7 10 0,8 13 0,16 11 0,13 4 0,11 3 0,11-1 0,12-4 0,13-8 0,9-9 0,0-5 0,-7 3 0,-10 8 0,-12 12 0,-6 6 0</inkml:trace>
  <inkml:trace contextRef="#ctx0" brushRef="#br0" timeOffset="837">444 36 24575,'3'-16'0,"0"3"0,2 9 0,7 1 0,6 3 0,2 0 0,-4 6 0,-7 8 0,-3 9 0,-5 6 0,-5-3 0,-5-4 0,-6-3 0,0-5 0,3-1 0,6-2 0,4-4 0,13-2 0,12-2 0,15-3 0,10-1 0,1-4 0,-4-2 0,-9-2 0,-10 2 0,-13 2 0,-6 3 0</inkml:trace>
  <inkml:trace contextRef="#ctx0" brushRef="#br0" timeOffset="1713">501 974 24575,'-2'7'0,"0"2"0,1 1 0,1 3 0,0 0 0,0-1 0,0 0 0,0-7 0,0-14 0,0-21 0,0-9 0,0-15 0,3-3 0,4 7 0,5 5 0,2 18 0,0 15 0,-2 5 0,-5 6 0,-1 7 0,0 12 0,3 13 0,0 15 0,1 8 0,-3-1 0,-3-6 0,-2-22 0,-1-10 0</inkml:trace>
  <inkml:trace contextRef="#ctx0" brushRef="#br0" timeOffset="2224">375 959 24575,'19'0'0,"18"0"0,18-1 0,7-1 0,-7 0 0,-19 1 0,-16 0 0,-12 1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6:00.29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0 624 24575,'13'37'0,"7"11"0,11 14 0,5 5 0,-6-10 0,-7-17 0,-9-19 0,-8-16 0,-3-18 0,-2-17 0,-1-15 0,0-15 0,0-12 0,0-9 0,2-15 0,1-1 0,1 8 0,0 12 0,-1 21 0,1 15 0,1 12 0,0 11 0,-1 6 0,-1 5 0,2 4 0,0 0 0,0 1 0,-1-1 0,-2-2 0,1 2 0,0 0 0,1 1 0,9 2 0,7 0 0,25-2 0,44-2 0,-20 0 0,8 1 0,-11 0 0,5-1 0,3 1-336,9 0 1,4 1 0,0-1 335,4 1 0,1 1 0,-2-1 0,-6 1 0,-1 0 0,-3 1 0,-10 0 0,-2 0 0,-4 0 0,14 0 0,-7 0 0,27 0 0,-33-1 0,-28 0 0,-17-1 0,-12 1 0,-4 0 0</inkml:trace>
  <inkml:trace contextRef="#ctx0" brushRef="#br0" timeOffset="1561">624 624 24575,'-3'7'0,"1"4"0,2 10 0,0 8 0,0 1 0,1-2 0,7-10 0,5-7 0,7-7 0,4-1 0,-2-2 0,-3-4 0,-3-4 0,-7-7 0,-3-5 0,-3-7 0,-4-7 0,-6-3 0,-9-2 0,-6 6 0,-3 6 0,4 9 0,5 6 0,4 4 0,5 3 0,6-1 0,6 0 0,7 0 0,5 0 0,1 2 0,-1 2 0,-4 1 0,-4-1 0,-4 1 0,-3-1 0</inkml:trace>
  <inkml:trace contextRef="#ctx0" brushRef="#br0" timeOffset="2111">491 307 24575,'8'0'0,"12"0"0,16 0 0,17 0 0,13 0 0,2 0 0,-4 0 0,-10 0 0,-15 0 0,-19 0 0,-10 0 0</inkml:trace>
  <inkml:trace contextRef="#ctx0" brushRef="#br0" timeOffset="3424">1028 919 24575,'0'83'0,"0"-15"0,0-40 0,0-15 0,0-22 0,0-17 0,0-11 0,0 0 0,0 13 0,3 14 0,8 13 0,12 3 0,9-5 0,3-14 0,-5-14 0,-7-6 0,-7 5 0,-7 19 0,-3 22 0,-2 25 0,-2 15 0,-1 5 0,-1-7 0,0-16 0,0-14 0,0-12 0,0-5 0</inkml:trace>
  <inkml:trace contextRef="#ctx0" brushRef="#br0" timeOffset="3858">1335 818 24575,'0'0'0</inkml:trace>
  <inkml:trace contextRef="#ctx0" brushRef="#br0" timeOffset="4985">1082 160 24575,'44'27'0,"-8"0"0,-36-1 0,-4-1 0,-4-4 0,-1-5 0,2-6 0,12-3 0,14-5 0,12-1 0,7-3 0,1-1 0,-6-1 0,-10-1 0,-12 3 0,-6 1 0</inkml:trace>
  <inkml:trace contextRef="#ctx0" brushRef="#br0" timeOffset="6232">1616 567 24575,'3'14'0,"1"9"0,2 9 0,1 5 0,-1-3 0,-2-9 0,-4-10 0,0-13 0,0-16 0,0-16 0,0-11 0,4-4 0,6 4 0,7 9 0,4 11 0,-1 9 0,-3 9 0,-3 8 0,1 14 0,2 14 0,0 18 0,0 7 0,-2 3 0,-3-6 0,-3-14 0,-5-13 0,-3-15 0,-1-8 0</inkml:trace>
  <inkml:trace contextRef="#ctx0" brushRef="#br0" timeOffset="6701">2387 549 24575,'8'0'0,"3"0"0,10 0 0,9 0 0,7 0 0,3 0 0,-4 0 0,-16 0 0,-7 0 0</inkml:trace>
  <inkml:trace contextRef="#ctx0" brushRef="#br0" timeOffset="7068">2467 670 24575,'24'0'0,"5"0"0,3 0 0,-12 0 0,-6 0 0</inkml:trace>
  <inkml:trace contextRef="#ctx0" brushRef="#br0" timeOffset="7820">3080 529 24575,'12'30'0,"5"10"0,8 14 0,5 6 0,-1-3 0,-4-12 0,-6-13 0,-7-17 0,-4-18 0,-3-27 0,6-33 0,-3 13 0,1-6 0,1-7 0,2-2 0,0-5 0,0 1 0,-4 4 0,0 3 0,4-33 0,-7 27 0,-3 29 0,-1 22 0,-1 10 0</inkml:trace>
  <inkml:trace contextRef="#ctx0" brushRef="#br0" timeOffset="8586">3372 0 24575,'35'0'0,"45"0"0,-14 0 0,7 0 0,23 0 0,6 0-353,-27 0 1,3 0 0,-2 0 352,-5 0 0,-1 0 0,-2 0 0,23 0 0,-6 0 173,-21 0 0,-6 0-173,14 0 43,-27 0 1,-28 0 0,-10 0 0</inkml:trace>
  <inkml:trace contextRef="#ctx0" brushRef="#br0" timeOffset="9927">3698 537 24575,'0'36'0,"0"8"0,0 8 0,1 0 0,3-14 0,5-14 0,5-11 0,3-9 0,-2-4 0,-2-7 0,-4-9 0,-1-14 0,-2-9 0,-3-1 0,-3 5 0,-5 11 0,-7 6 0,-9 3 0,-5 2 0,2 0 0,4 2 0,8 2 0,6 0 0,4 0 0,9-4 0,10-1 0,9-2 0,5 2 0,-4 2 0,-8 5 0,-5 2 0,-2 0 0,-2 0 0,2-1 0,0 1 0,-1 2 0,-4 2 0,-3 1 0</inkml:trace>
  <inkml:trace contextRef="#ctx0" brushRef="#br0" timeOffset="10628">3989 173 24575,'11'-3'0,"4"1"0,2 2 0,3 0 0,-3 3 0,-11 10 0,-11 10 0,-8 8 0,-2 1 0,5-7 0,6-7 0,4-7 0,13-6 0,14-6 0,14-7 0,8-4 0,-9 1 0,-12 4 0,-16 4 0,-6 3 0</inkml:trace>
  <inkml:trace contextRef="#ctx0" brushRef="#br0" timeOffset="11510">4062 1015 24575,'0'6'0,"0"5"0,0 9 0,0 12 0,0 6 0,0-7 0,0-23 0,0-28 0,0-26 0,0-12 0,0 3 0,0 12 0,0 15 0,2 10 0,2 7 0,1 4 0,2 2 0,-2 5 0,2 14 0,2 12 0,1 15 0,0 11 0,-3 4 0,-1 1 0,-1-5 0,-1-12 0,-1-13 0,-1-15 0,-1-8 0</inkml:trace>
  <inkml:trace contextRef="#ctx0" brushRef="#br0" timeOffset="11997">4017 1144 24575,'27'0'0,"12"-1"0,12 0 0,4-1 0,-12 0 0,-19 1 0,-12 1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6:15.2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92 160 24575,'0'20'0,"0"21"0,0 21 0,0 16 0,0-5 0,0-17 0,0-19 0,0-21 0,0-9 0</inkml:trace>
  <inkml:trace contextRef="#ctx0" brushRef="#br0" timeOffset="568">92 98 24575,'3'-5'0,"7"2"0,13 1 0,14 2 0,7 2 0,-2 7 0,-6 10 0,-7 11 0,-7 16 0,-6 8 0,-5 6 0,-8 2 0,-14-6 0,-20-1 0,-22-6 0,-16-7 0,-2-6 0,10-11 0,19-7 0,21-9 0,13-4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6:24.89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6 233 24575,'-3'8'0,"1"14"0,2 30 0,0 23 0,0 20 0,3-5 0,0-21 0,1-20 0,-1-24 0,-3-20 0,0-19 0,0 6 0,0-8 0</inkml:trace>
  <inkml:trace contextRef="#ctx0" brushRef="#br0" timeOffset="518">19 119 24575,'5'-5'0,"4"2"0,11 1 0,9 2 0,6 0 0,-2 1 0,-9 7 0,-9 14 0,-9 11 0,-7 9 0,-8-1 0,-6-7 0,-6-6 0,-1-6 0,4-5 0,6-4 0,5-5 0,5-3 0</inkml:trace>
  <inkml:trace contextRef="#ctx0" brushRef="#br0" timeOffset="1468">343 823 24575,'0'91'0,"0"-61"0,0 26 0,0-95 0,0-21 0,0-9 0,0 15 0,0 14 0,1 19 0,3 15 0,3 11 0,5 9 0,4 3 0,2-3 0,2-7 0,-1-12 0,-1-14 0,-2-8 0,-2-5 0,-2 9 0,-4 22 0,-1 25 0,-3 25 0,0 13 0,-2-5 0,-1-12 0,-1-18 0,0-12 0,0-9 0,1-5 0</inkml:trace>
  <inkml:trace contextRef="#ctx0" brushRef="#br0" timeOffset="1786">746 758 24575,'0'0'0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6:37.45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15 156 24575,'0'34'0,"0"25"0,0 30 0,0 11 0,0-13 0,0-24 0,0-33 0,0-15 0</inkml:trace>
  <inkml:trace contextRef="#ctx0" brushRef="#br0" timeOffset="434">1 75 24575,'12'-3'0,"13"2"0,16 0 0,13 5 0,2 10 0,-6 15 0,-12 13 0,-16 8 0,-10 1 0,-14 3 0,-14 4 0,-13 2 0,-14 2 0,-7-4 0,3-7 0,9-11 0,18-19 0,9-11 0</inkml:trace>
  <inkml:trace contextRef="#ctx0" brushRef="#br0" timeOffset="867">600 112 24575,'0'43'0,"0"19"0,0 16 0,0 12 0,0-10 0,0-21 0,0-26 0,0-20 0</inkml:trace>
  <inkml:trace contextRef="#ctx0" brushRef="#br0" timeOffset="1268">593 83 24575,'0'-19'0,"1"-1"0,4-1 0,6 8 0,8 5 0,4 7 0,2 3 0,-4 7 0,-9 10 0,-7 12 0,-12 4 0,-16 0 0,-12-3 0,-4-10 0,9-5 0,16-10 0,9-4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6:35.1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0 472 24575,'0'-10'0,"0"6"0,9 27 0,4 13 0,11 32 0,0-4 0,-3-8 0,-4-11 0,-8-20 0,-5-12 0,-3-20 0,1-24 0,1-26 0,5-23 0,3-8 0,3-2 0,1 5 0,0 8 0,-2 12 0,-2 15 0,0 12 0,2 12 0,4 5 0,7 3 0,7 2 0,6 2 0,4 2 0,2 5 0,1 3 0,1 3 0,-4 1 0,-4 0 0,-8 0 0,-8 0 0,-11 0 0,-4 0 0</inkml:trace>
  <inkml:trace contextRef="#ctx0" brushRef="#br0" timeOffset="881">539 376 24575,'0'26'0,"0"13"0,0 20 0,0 9 0,0-5 0,0-10 0,0-24 0,0-26 0,0-28 0,0-20 0,0-8 0,0 4 0,7 10 0,8 15 0,7 13 0,6 6 0,-3 11 0,-4 9 0,-5 13 0,-6 14 0,-4 7 0,-2-1 0,0-6 0,-2-19 0,1-10 0</inkml:trace>
  <inkml:trace contextRef="#ctx0" brushRef="#br0" timeOffset="1344">1150 582 24575,'11'0'0,"3"0"0,10 0 0,7 0 0,11 0 0,3 0 0,-6 0 0,-10 0 0,-15 0 0,-9 0 0</inkml:trace>
  <inkml:trace contextRef="#ctx0" brushRef="#br0" timeOffset="1679">1152 734 24575,'13'3'0,"10"-1"0,13-2 0,9 0 0,-4 0 0,-17 0 0,-10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6:45.87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0 342 24575,'3'8'0,"-1"11"0,-2 11 0,0 3 0,0-11 0,0-27 0,0-34 0,0-26 0,0-22 0,0-2 0,0 15 0,4 19 0,8 26 0,9 18 0,9 22 0,1 19 0,-2 22 0,-5 17 0,-6 2 0,-5-7 0,-6-16 0,-2-14 0,-4-19 0,1-6 0</inkml:trace>
  <inkml:trace contextRef="#ctx0" brushRef="#br0" timeOffset="436">18 324 24575,'5'-3'0,"13"1"0,18 0 0,13-1 0,1 0 0,-4 0 0,-12 1 0,-16 1 0,-8 1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6:48.5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24575,'49'0'0,"23"0"0,20 0 0,-13 0 0,9 0 0,7 0 0,6 0-1364,-21 0 0,4 0 0,4 0 1,3 0-1,3 0 0,0 0 0,1 0 1364,-2 0 0,3 0 0,2 0 0,1 0 0,0 0 0,1 0 0,0 0 0,-1 0 0,-10 0 0,1 0 0,0 0 0,0 0 0,0 0 0,0 0 0,-1 0 0,-1 0 0,0 0 0,5 0 0,0 0 0,0 0 0,0 0 0,-2 0 0,-2 0 0,-2 0 0,-2 0 125,8 0 0,-3 0 0,-2 0 0,-3 0 0,-2 0 0,-2 0-125,16 0 0,-4 0 0,-4 0 0,-7 0 586,-3 0 1,-6 0 0,-12 0-587,19 0 0,-45 0 0,-34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6:57.99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 24 24575,'0'39'0,"0"14"0,0 15 0,0 7 0,0-10 0,0-17 0,0-20 0,0-16 0,0-9 0</inkml:trace>
  <inkml:trace contextRef="#ctx0" brushRef="#br0" timeOffset="503">0 51 24575,'9'-3'0,"13"1"0,17 2 0,12 0 0,6 2 0,-6 12 0,-7 19 0,-13 25 0,-12 15 0,-13 6 0,-11-4 0,-12-14 0,-15-11 0,-9-15 0,1-12 0,11-10 0,14-7 0,8-5 0</inkml:trace>
  <inkml:trace contextRef="#ctx0" brushRef="#br0" timeOffset="1195">506 137 24575,'3'29'0,"-1"13"0,-2 20 0,0 11 0,0 1 0,0-8 0,0-15 0,0-17 0,0-18 0,0-9 0</inkml:trace>
  <inkml:trace contextRef="#ctx0" brushRef="#br0" timeOffset="1793">475 5 24575,'3'-3'0,"4"1"0,8 2 0,6 0 0,3 0 0,-2 0 0,-5 5 0,-2 14 0,-5 18 0,-5 17 0,-5 9 0,-9-5 0,-7-13 0,-4-14 0,1-12 0,9-12 0,5-4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6:51.50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102 258 24575,'0'13'0,"0"17"0,0 21 0,0 2 0,0 7 0,0-10 0,0-13 0,0-8 0,0-17 0</inkml:trace>
  <inkml:trace contextRef="#ctx0" brushRef="#br0" timeOffset="485">1 1 24575,'72'50'0,"0"0"0,1 1 0,2-3 0,-12 5 0,-21 29 0,-19 3 0,-31 12 0,-16-9 0,-18-16 0,-16-14 0,-4-27 0,8-10 0,15-7 0,18-9 0,12-1 0</inkml:trace>
  <inkml:trace contextRef="#ctx0" brushRef="#br0" timeOffset="985">655 305 24575,'3'-2'0,"-2"10"0,0 17 0,-1 31 0,0 31 0,0-35 0,0 1 0,0-2 0,0-1 0,0 30 0,0-32 0,0-26 0,0-15 0,0-10 0</inkml:trace>
  <inkml:trace contextRef="#ctx0" brushRef="#br0" timeOffset="1369">660 261 24575,'70'-9'0,"-6"10"0,-29 19 0,-10 14 0,-16 17 0,-8 3 0,-11-2 0,-14-4 0,-11-11 0,-2-8 0,14-14 0,10-9 0</inkml:trace>
  <inkml:trace contextRef="#ctx0" brushRef="#br0" timeOffset="2723">847 877 24575,'0'31'0,"0"7"0,0 5 0,0-6 0,0-17 0,0-25 0,0-32 0,0-21 0,3-9 0,5 4 0,4 19 0,4 16 0,0 15 0,-2 8 0,0 10 0,-1 13 0,1 16 0,-5 15 0,-2 7 0,-3-1 0,-3-24 0,1-9 0</inkml:trace>
  <inkml:trace contextRef="#ctx0" brushRef="#br0" timeOffset="3996">770 890 24575,'11'-3'0,"13"1"0,16 2 0,8-1 0,-2-1 0,-11 1 0,-12-1 0,-9 3 0,-6 5 0,-2 8 0,-3 11 0,0 7 0,-1 3 0,-2-1 0,1-8 0,1-6 0,3-7 0,1-6 0,3-9 0,5-12 0,5-13 0,4-6 0,-1 1 0,-3 10 0,-5 8 0,-3 8 0,1 7 0,2 10 0,2 10 0,3 9 0,-1 1 0,1-9 0,2-10 0,1-17 0,0-16 0,-2-12 0,-4-1 0,-6 8 0,-5 13 0,-3 19 0,0 16 0,2 14 0,4 4 0,2-8 0,1-13 0,1-14 0,3-20 0,1-16 0,0-10 0,-4 0 0,-4 17 0,-4 22 0,3 20 0,5 17 0,13 4 0,9-5 0,5-12 0,-15-12 0,-8-7 0</inkml:trace>
  <inkml:trace contextRef="#ctx0" brushRef="#br0" timeOffset="4981">1842 965 24575,'-7'0'0,"-3"0"0,-5 0 0,-4 3 0,-1 10 0,4 11 0,6 5 0,7-2 0,8-9 0,11-10 0,12-13 0,7-12 0,-3-13 0,-11-5 0,-11 8 0,-7 10 0,-1 17 0,-1 15 0,8 13 0,12 10 0,20-2 0,20-10 0,17-24 0,7-41 0,-43 1 0,-6-11 0,-3-16 0,-8-6 0,-4-5 0,-8-2 0,-6 5 0,-6 3 0,-5 13 0,-4 5 0,-16-12 0,-10 29 0,-2 47 0,5 44 0,17-9 0,5 5 0,4 11 0,7 2 0,7-2 0,9-2 0,5-11 0,6-5 0,39 13 0,-23-33 0,-15-17 0</inkml:trace>
  <inkml:trace contextRef="#ctx0" brushRef="#br0" timeOffset="5495">2787 672 24575,'20'0'0,"13"0"0,12 0 0,6 0 0,-8 0 0,-21 0 0,-10 0 0</inkml:trace>
  <inkml:trace contextRef="#ctx0" brushRef="#br0" timeOffset="5861">2864 817 24575,'29'0'0,"1"0"0,4 0 0,-6 0 0,-12 0 0,-6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7:14.63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1047 24575,'0'0'0</inkml:trace>
  <inkml:trace contextRef="#ctx0" brushRef="#br0" timeOffset="915">147 606 24575,'16'25'0,"8"15"0,12 18 0,3 3 0,-10-14 0,-9-16 0,-9-20 0,-7-27 0,-3-35 0,-1-27 0,0-18 0,1 2 0,3 14 0,2 15 0,0 17 0,0 16 0,-4 11 0,0 7 0,1 2 0,1-8 0,2-13 0,-2 11 0,-1 0 0</inkml:trace>
  <inkml:trace contextRef="#ctx0" brushRef="#br0" timeOffset="1602">383 0 24575,'44'0'0,"40"0"0,-9 0 0,11 0 0,-17 0 0,4 0 0,2 0-536,9 0 1,4 0-1,-2 0 536,-1 0 0,-1 0 0,-2 0 0,-10 0 0,-2 0 0,-4 0 260,21 0 1,-8 0-261,-25 0 0,-6 0 66,17 0 1,-38 0-1,-19 0 1</inkml:trace>
  <inkml:trace contextRef="#ctx0" brushRef="#br0" timeOffset="2734">553 454 24575,'6'0'0,"-2"-1"0,2-6 0,2-2 0,3 1 0,5 2 0,4 7 0,5 13 0,3 19 0,-2 20 0,-8 16 0,-9 1 0,-19-5 0,-22-11 0,-19-14 0,-12-12 0,8-13 0,13-8 0,17-13 0,13-14 0,8-10 0,11-6 0,9 7 0,10 11 0,7 10 0,4 9 0,1 8 0,4 7 0,0 4 0,-1-1 0,-3-7 0,-6-5 0,-15-5 0,-5-2 0</inkml:trace>
  <inkml:trace contextRef="#ctx0" brushRef="#br0" timeOffset="3385">918 444 24575,'0'34'0,"0"4"0,0 4 0,0-8 0,1-13 0,5-12 0,10-8 0,10-1 0,12 0 0,1 1 0,-3 7 0,-8 10 0,-11 10 0,-7 9 0,-10-1 0,-11-6 0,-12-6 0,-7-8 0,-3-3 0,2-5 0,5-3 0,5-3 0,10-2 0,4 0 0</inkml:trace>
  <inkml:trace contextRef="#ctx0" brushRef="#br0" timeOffset="3935">931 362 24575,'20'-3'0,"13"1"0,15 2 0,8 0 0,-3 0 0,-9 0 0,-14 0 0,-11 0 0,-11 0 0,-5 0 0</inkml:trace>
  <inkml:trace contextRef="#ctx0" brushRef="#br0" timeOffset="4855">1410 442 24575,'7'-13'0,"10"3"0,9 4 0,5 3 0,-4 5 0,-7 14 0,-9 17 0,-4 17 0,-10 13 0,-12-2 0,-11-8 0,-7-12 0,2-15 0,6-14 0,8-11 0,7-7 0,9-4 0,11-3 0,9 3 0,9 2 0,12 5 0,14 3 0,15 5 0,12 6 0,3 5 0,-11-1 0,-15-2 0,-22-6 0,-20-4 0,-9-2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6T22:57:11.90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128 335 24575,'-18'0'0,"0"0"0,-4 0 0,3 1 0,3 1 0,3 8 0,3 4 0,3 8 0,4 4 0,2 0 0,5-2 0,7-5 0,4-7 0,7-4 0,-2-7 0,0-12 0,-1-19 0,-1-27 0,-4-21 0,-5-9 0,-10 3 0,-10 18 0,-4 18 0,-3 21 0,5 16 0,4 15 0,3 23 0,3 28 0,1 34 0,1-37 0,1 2 0,2 1 0,2-1 0,13 44 0,10-24 0,8-20 0,-1-23 0,-6-17 0,-5-13 0,-6-17 0,-2-17 0,-2-14 0,-1-2 0,-3 10 0,-3 14 0,-4 13 0,-1 8 0</inkml:trace>
  <inkml:trace contextRef="#ctx0" brushRef="#br0" timeOffset="362">324 178 24575,'0'0'0</inkml:trace>
  <inkml:trace contextRef="#ctx0" brushRef="#br0" timeOffset="2284">594 439 24575,'-6'0'0,"-1"0"0,0 0 0,-3 2 0,-2 5 0,-2 7 0,0 7 0,5 2 0,5-2 0,2-3 0,6-4 0,5-3 0,7 0 0,7-4 0,1-2 0,-3-7 0,-3-10 0,-6-7 0,-4-4 0,-3 3 0,-3 9 0,-2 14 0,2 15 0,3 11 0,6 6 0,7-2 0,6-9 0,4-10 0,-2-11 0,-3-15 0,-7-14 0,-8-8 0,-4-2 0,-4 8 0,1 10 0,5 9 0,6 5 0,4 3 0,1 2 0,-3 6 0,-3 9 0,-3 9 0,2 9 0,0 1 0,1-5 0,1-8 0,4-10 0,2-7 0,4-9 0,0-10 0,-3-10 0,-5-8 0,-5-1 0,-5 6 0,-3 12 0,-1 13 0,0 16 0,0 12 0,2 3 0,3 1 0,7-8 0,7-8 0,5-9 0,5-10 0,-2-7 0,-4 0 0,-4 3 0,-4 7 0,-1 8 0,2 5 0,2 3 0,6 0 0,6-5 0,0-4 0,-1-7 0,-8-9 0,-9-8 0,-6-5 0,-9 0 0,-9 7 0,-11 7 0,-13 5 0,16 4 0,-1 1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07:58.54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0 820 24575,'34'0'0,"12"0"0,12 0 0,6 0 0,-5 0 0,-13 0 0,-13 0 0,-16 0 0,-10 0 0</inkml:trace>
  <inkml:trace contextRef="#ctx0" brushRef="#br0" timeOffset="635">644 820 24575,'5'-9'0,"7"-20"0,8-24 0,8-22 0,3-15 0,-6 9 0,-7 19 0,-9 26 0,-6 41 0,2 46 0,4 43 0,-2-34 0,1 3 0,0 2 0,-1 1 0,-2-8 0,0-2 0,3 29 0,-6-28 0,0-32 0,-2-14 0</inkml:trace>
  <inkml:trace contextRef="#ctx0" brushRef="#br0" timeOffset="1372">1463 420 24575,'-29'18'0,"-18"17"0,-21 16 0,-6 12 0,14-8 0,19-11 0,17-12 0,15-14 0,7-4 0,16 3 0,15 4 0,20 5 0,16 5 0,0 0 0,-5-2 0,-16-4 0,-14-7 0,-16-9 0,-7-4 0</inkml:trace>
  <inkml:trace contextRef="#ctx0" brushRef="#br0" timeOffset="1829">1152 1010 24575,'58'13'0,"0"6"0,18 9 0,2 8 0,-13-5 0,-9-3 0,-25-10 0,-20-10 0,-10-4 0</inkml:trace>
  <inkml:trace contextRef="#ctx0" brushRef="#br0" timeOffset="6325">1943 830 24575,'0'-28'0,"0"-13"0,0-14 0,0-5 0,0 9 0,2 19 0,4 15 0,7 12 0,9 4 0,4 1 0,1 0 0,-10 0 0,-14 0 0,-14 6 0,-10 6 0,-11 15 0,-3 19 0,7 14 0,6 14 0,18 1 0,22-6 0,19-10 0,19-15 0,15-17 0,-3-23 0,-8-26 0,-15-27 0,-18-14 0,-12 3 0,-8 17 0,-3 23 0,1 20 0,5 15 0,10 6 0,9 2 0,7-5 0,1-8 0,-6-7 0,-10-15 0,-9-13 0,-12-15 0,-18-7 0,-18 3 0,-17 13 0,-6 13 0,4 11 0,14 7 0,16 10 0,13 6 0,15 4 0,16-1 0,19-13 0,13-19 0,6-24 0,-8-16 0,-13-4 0,-11 14 0,-11 17 0,-5 15 0,5 8 0,11 2 0,13 1 0,5 3 0,-3 9 0,-9 14 0,-13 18 0,-6 15 0,-4 5 0,0-3 0,4-11 0,6-13 0,3-11 0,7-10 0,3-13 0,2-28 0,-3-31 0,-10-25 0,-9-9 0,-8 15 0,-5 25 0,4 23 0,6 17 0,8 13 0,8 11 0,3 10 0,-4 10 0,-3 8 0,-3 8 0,-1 2 0,1 0 0,2-8 0,5-9 0,5-12 0,8-11 0,3-12 0,0-25 0,-8-22 0,-13-19 0,-11-4 0,-16 15 0,-10 16 0,-5 19 0,0 25 0,10 27 0,10 23 0,18 15 0,18-3 0,14-17 0,14-20 0,4-42 0,1-60 0,-34 9 0,-5-9 0,-4-13 0,-4-4 0,-5 2 0,-4 1 0,-5 13 0,-5 7 0,-13-22 0,-11 44 0,-8 65 0,6 74 0,16-18 0,4 7 0,2 9 0,6 1 0,7-4 0,5-6 0,4-15 0,6-8 0,32 19 0,5-35 0,-11-35 0,-5-29 0,-7-26 0,-3-17 0,-3-2 0,-4 11 0,-5 16 0,-7 19 0,-12 20 0,-15 24 0,-8 19 0,-3 12 0,7-4 0,8-11 0,8-19 0,8-28 0,5-29 0,3-21 0,1-4 0,-7 17 0,-1 33 0,-1 30 0,4 16 0,5 0 0,7-13 0,5-18 0,6-23 0,0-24 0,-3-18 0,-6-6 0,-11 13 0,-10 28 0,-13 41 0,-9 37 0,2 28 0,4 6 0,8-19 0,12-23 0,15-22 0,14-28 0,13-25 0,5-19 0,0-12 0,-2 5 0,-7 14 0,-12 14 0,-10 11 0,-13 10 0,-17 6 0,-15 10 0,-16 13 0,-7 11 0,5 6 0,12-4 0,12-8 0,11-8 0,10-5 0,10-6 0,9-5 0,8-12 0,0-14 0,-3-10 0,-8-1 0,-9 13 0,-7 16 0,-3 18 0,0 15 0,4 8 0,3 2 0,4-10 0,6-11 0,5-9 0,-1-14 0,2-5 0,-4-1 0,-3 1 0,-2 7 0,-3 3 0,-5-1 0,-5-8 0,-4-17 0,-7-19 0,-3-21 0,-1-11 0,0 1 0,10 10 0,10 17 0,11 18 0,5 13 0,-1 9 0,-12 6 0,-7 2 0</inkml:trace>
  <inkml:trace contextRef="#ctx0" brushRef="#br0" timeOffset="7728">4619 407 24575,'-9'-3'0,"1"1"0,-2 1 0,3-1 0,3-3 0,10-8 0,28-11 0,34-8 0,-21 15 0,3 1 0,5 0 0,0 1 0,-4 2 0,-2 0 0,25-9 0,-25 3 0,-25 3 0,-19 4 0,-18 1 0,-18 3 0,-13 3 0,15 3 0,6 2 0</inkml:trace>
  <inkml:trace contextRef="#ctx0" brushRef="#br0" timeOffset="8364">4383 920 24575,'0'12'0,"0"11"0,0 17 0,0 19 0,0 12 0,0 2 0,0-10 0,0-17 0,0-29 0,0-7 0,0-17 0</inkml:trace>
  <inkml:trace contextRef="#ctx0" brushRef="#br0" timeOffset="9250">5750 478 24575,'-16'-2'0,"-17"9"0,-29 17 0,18-2 0,-4 3 0,-7 3 0,0 2 0,0 0 0,3 1 0,7-4 0,2-1 0,-15 10 0,22-11 0,22-10 0,21-3 0,22 3 0,27 9 0,23 7 0,9 6 0,-7-1 0,-19-4 0,-19-9 0,-20-6 0,-13-9 0,-8-4 0</inkml:trace>
  <inkml:trace contextRef="#ctx0" brushRef="#br0" timeOffset="9669">5209 1045 24575,'37'10'0,"26"13"0,25 9 0,-37-14 0,0-1 0,38 7 0,-40-13 0,-18-6 0</inkml:trace>
  <inkml:trace contextRef="#ctx0" brushRef="#br0" timeOffset="10117">5904 610 24575,'23'0'0,"22"0"0,23 0 0,3 0 0,-4 0 0,-18 0 0,-21-3 0,-17-14 0,-9 11 0,-11-11 0</inkml:trace>
  <inkml:trace contextRef="#ctx0" brushRef="#br0" timeOffset="10458">6019 216 24575,'0'89'0,"0"7"0,0-1 0,0 4 0,0-15 0,0-15 0,0-10 0,0-36 0,0-14 0</inkml:trace>
  <inkml:trace contextRef="#ctx0" brushRef="#br0" timeOffset="11114">6527 634 24575,'3'-48'0,"7"-8"0,10-16 0,7 1 0,0 17 0,-7 20 0,-9 23 0,-6 38 0,-4 47 0,-1-19 0,0 6 0,0 10 0,0 2 0,0-3 0,0-3 0,0-12 0,0-4 0,0 19 0,0-37 0,0-19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1:20.15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26 322 24575,'-3'26'0,"0"16"0,3 21 0,0 4 0,0-14 0,0-23 0,0-17 0,0-13 0</inkml:trace>
  <inkml:trace contextRef="#ctx0" brushRef="#br0" timeOffset="738">0 6 24575,'2'-3'0,"8"1"0,11 2 0,4 3 0,1 12 0,-8 21 0,-7 32 0,-9 29 0,-7-43 0,-2 1 0,-4 1 0,-1-3 0,-15 34 0,2-29 0,12-24 0,20-20 0,26-8 0,25-6 0,21 0 0,6 0 0,-12-3 0,-13-10 0,-18-15 0,-14-13 0,-12-4 0,-8 20 0,-2 39 0,3 40 0,11 26 0,9-3 0,3-20 0,-3-24 0,-8-24 0,-11-7 0,-4-6 0</inkml:trace>
  <inkml:trace contextRef="#ctx0" brushRef="#br0" timeOffset="1021">645 249 24575,'1'-6'0,"0"3"0,0 0 0</inkml:trace>
  <inkml:trace contextRef="#ctx0" brushRef="#br0" timeOffset="1470">893 237 24575,'-13'11'0,"-1"8"0,3 6 0,4 4 0,7-4 0,14-5 0,18 0 0,11-1 0,0 4 0,-16 9 0,-22 5 0,-21 2 0,-21-2 0,-13-9 0,1-11 0,21-7 0,13-8 0</inkml:trace>
  <inkml:trace contextRef="#ctx0" brushRef="#br0" timeOffset="2138">1226 319 24575,'0'-5'0,"0"23"0,0 18 0,0 28 0,0-1 0,10-12 0,16-22 0,14-20 0,11-18 0,-7-12 0,-12-2 0,-11 4 0,-9 14 0,2 17 0,15 16 0,19 9 0,17-3 0,8-14 0,-10-31 0,-17-31 0,-20-27 0,-26-12 0,-30 14 0,-33 24 0,-31 38 0,34 4 0,7 16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1:24.26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8 314 24575,'-4'-17'0,"2"7"0,1 22 0,1 41 0,0 36 0,0-34 0,0 1 0,0-3 0,0-2 0,0 26 0,0-39 0,0-58 0,0-55 0,-1 23 0,2-4 0,2-2 0,3 3 0,16-24 0,18 36 0,10 48 0,-8 47 0,-14 34 0,-21-31 0,-6 1 0,-4 0 0,-4-2 0,-15 39 0,-2-21 0,4-16 0,20-15 0,22-10 0,27-8 0,21-12 0,7-19 0,-6-31 0,-22-27 0,-21-11 0,-20 12 0,-20 26 0,-11 24 0,-3 23 0,6 23 0,10 13 0,19 8 0,20-7 0,19-15 0,17-15 0,2-37 0,-36-14 0,-6-11 0,-1-15 0,-6-7 0,-5-12 0,-4-2 0,-4 3 0,-2 4 0,-2 17 0,0 5 0,-3-19 0,-1 39 0,0 28 0,0 19 0,2 11 0,2 1 0,2-6 0,0-12 0,0-29 0,-2-25 0,-1-15 0,-1-2 0,-4 22 0,0 33 0,0 51 0,3 8 0,2 9 0,0 18 0,1 6 0,2 8 0,1 1 0,2-5 0,2-5 0,0-19 0,1-5 0,6 17 0,-7-41 0,-6-22 0</inkml:trace>
  <inkml:trace contextRef="#ctx0" brushRef="#br0" timeOffset="419">573 491 24575,'36'-5'0,"13"-6"0,22-8 0,8-1 0,-14 4 0,-24 7 0,-21 6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2-07T00:14:35.22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128 21,'48'0,"-1"0,-26 0,-4 0,-57 0,21 0,-36 0,38 0,-3 0,-2 0,-5 0,1 0,5 0,7-2,57-4,-21 1,32-1,-49 4,0 4,-6-1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2-07T00:14:41.45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2060,'58'-31,"-4"3,-13 10,0-1,0 1,1-1,4 0,3-2,2-1,2 0,-4-1,-1 1,0-1,2-2,3-2,4-1,4 0,3 0,4-1,1 3,0 1,3 1,0 1,3 2,-1 1,-2 3,-3 0,-4 1,-2-1,1 3,-2-1,0 1,-1 0,-6-2,0 0,-5 0,0-2,0 1,1-2,2 0,1-3,4-1,5-4,7 0,4-3,5 0,1 1,6-1,3 1,-41 13,1 0,3 0,1-1,0 1,1 0,2 0,0 0,-2 0,1 2,-3 0,0 1,-1-1,-2 2,43-12,-5 3,-3 2,0 1,2 1,-1-3,0 0,-2 1,-2-1,2 3,2-1,3-2,2-1,2-3,1-5,-45 14,0-1,0 0,0 0,45-18,-1 2,-2 5,-2 0,-3 3,-5-1,-5-1,-3 1,-1 3,-2 1,-3 4,-7 2,-4 1,-6 2,-3 2,-2-1,-3 3,-4 1,-5 1,-6 2,-6 1,-7 1,2-1,2-1,1-2,-2 0,-6 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4:52.509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304 1229 24575,'-7'-7'0,"4"-1"0,0-10 0,9-16 0,11-27 0,6-31 0,-10 36 0,-2-2 0,-2-2 0,-3-1 0,-4 6 0,-5 2 0,-18-32 0,-12 29 0,-6 28 0,6 15 0,16 26 0,9 35 0,8-2 0,2 8 0,3 23 0,2 5 0,2 15 0,1 1 0,1 1 0,1-2 0,-3-9 0,0-3 0,-4-16 0,-1-4 0,-1 28 0,-3-32 0,0-29 0,0-20 0,0-7 0</inkml:trace>
  <inkml:trace contextRef="#ctx0" brushRef="#br0" timeOffset="1546">180 1352 24575,'1'-6'0,"12"-2"0,21-7 0,18-3 0,3-2 0,0 1 0,-8 0 0,-7-2 0,-3-3 0,-17 1 0,-9 5 0,-7 9 0,-2 15 0,-1 17 0,0 5 0,4 7 0,4-2 0,6-4 0,4 0 0,1-12 0,0-10 0,1-16 0,-1-16 0,-5-13 0,-5-1 0,-4 9 0,-3 13 0,2 15 0,3 12 0,5 6 0,5 4 0,2-5 0,-1-6 0,-3-5 0,-6-5 0,-4-4 0,-4-8 0,-10-6 0,-11-3 0,-11 2 0,-6 7 0,5 6 0,14 6 0,28 1 0,28-1 0,22-3 0,7-1 0,-11-2 0,-14 3 0,-15 4 0,-8 11 0,-6 7 0,-4 5 0,-1-4 0,-1-7 0,1-11 0,4-15 0,4-11 0,3-7 0,3 5 0,-1 12 0,-2 9 0,-2 12 0,-1 13 0,0 8 0,-1 5 0,-2-6 0,-5-8 0,-4-10 0,-4-4 0</inkml:trace>
  <inkml:trace contextRef="#ctx0" brushRef="#br0" timeOffset="1981">1553 542 24575,'3'22'0,"0"23"0,-3 28 0,0 18 0,0 8 0,0-7 0,0-11 0,0-37 0,0-18 0</inkml:trace>
  <inkml:trace contextRef="#ctx0" brushRef="#br0" timeOffset="2890">1282 942 24575,'-5'-10'0,"7"5"0,19 0 0,31 5 0,9 0 0,16 0 0,5 0 0,-1 0 0,8 0 0,-19 0 0,-25 0 0,-28 0 0,-24 0 0,-20 0 0,-10 0 0,-3 3 0,4 8 0,7 14 0,7 14 0,8 14 0,7 3 0,9-1 0,13-6 0,16-13 0,15-13 0,10-12 0,0-17 0,-5-17 0,-8-11 0,-13-6 0,-9 7 0,-8 12 0,-5 11 0,0 12 0,3 16 0,5 12 0,2 7 0,-2-5 0,-3-10 0,-8-13 0,-2-5 0</inkml:trace>
  <inkml:trace contextRef="#ctx0" brushRef="#br0" timeOffset="3947">1844 977 24575,'-8'0'0,"0"0"0,1 3 0,2 8 0,-1 11 0,0 5 0,0 2 0,-1-8 0,1-5 0,-3-1 0,-1-2 0,0 0 0,2-1 0,5-7 0,2 0 0</inkml:trace>
  <inkml:trace contextRef="#ctx0" brushRef="#br0" timeOffset="4407">2079 927 24575,'0'33'0,"0"-21"0,0 14 0</inkml:trace>
  <inkml:trace contextRef="#ctx0" brushRef="#br0" timeOffset="5955">2249 1350 24575,'0'-18'0,"0"-16"0,0-17 0,0-2 0,0 8 0,0 13 0,1 15 0,4 6 0,12 8 0,12 2 0,8 1 0,2 0 0,-8 3 0,-8 5 0,-7 9 0,-4 11 0,-3 7 0,-2 2 0,1-6 0,-1-8 0,3-9 0,8-11 0,12-16 0,14-17 0,9-12 0,-1-2 0,-9 10 0,-11 11 0,-15 12 0,-14 6 0,-17 4 0,-18 8 0,-13 18 0,0 19 0,12 16 0,15 1 0,16-15 0,11-16 0,9-19 0,5-17 0,-1-11 0,-8-6 0,-3 4 0,6 9 0,24 9 0,38 12 0,-25-5 0,5 1 0,5 0 0,0-1 0,-4-1 0,-5-2 0,8-2 0,-27-1 0</inkml:trace>
  <inkml:trace contextRef="#ctx0" brushRef="#br0" timeOffset="6531">3873 626 24575,'0'26'0,"0"22"0,0 25 0,0-2 0,-1-1 0,8-14 0,12-10 0,15-7 0,16-23 0,4-10 0,2-6 0,-8-5 0,-11-6 0,-12-7 0,-15 6 0,-6 0 0</inkml:trace>
  <inkml:trace contextRef="#ctx0" brushRef="#br0" timeOffset="6857">3851 822 24575,'-4'-6'0,"9"2"0,19 2 0,29 2 0,17 0 0,4 0 0,-9 0 0,-22 0 0,-19 0 0,-13 0 0</inkml:trace>
  <inkml:trace contextRef="#ctx0" brushRef="#br0" timeOffset="7165">3879 763 24575,'-33'-8'0,"11"4"0,22 0 0,45-1 0,37-7 0,-32 4 0,1-2 0,41-9 0,-41 8 0,-18 5 0</inkml:trace>
  <inkml:trace contextRef="#ctx0" brushRef="#br0" timeOffset="7638">4807 368 24575,'45'-58'0,"-8"-11"0,-4-10 0,-19 12 0,-25 25 0,-21 24 0,-14 23 0,-5 29 0,11 40 0,25-18 0,5 7 0,3 15 0,2 4 0,3 8 0,2 0 0,-1-4 0,2-1 0,-1-5 0,2-4 0,0-12 0,0-4 0,3 31 0,0-39 0,-3-27 0</inkml:trace>
  <inkml:trace contextRef="#ctx0" brushRef="#br0" timeOffset="8187">4483 949 24575,'-7'-12'0,"3"0"0,5-2 0,16 0 0,22 0 0,28-3 0,23 1 0,6 3 0,-5 3 0,-19 5 0,-22 3 0,-18 1 0,-15 4 0,-8 10 0,-6 12 0,-3 13 0,0 3 0,0-6 0,3-9 0,-2-14 0,2-6 0</inkml:trace>
  <inkml:trace contextRef="#ctx0" brushRef="#br0" timeOffset="8458">5074 775 24575,'0'0'0</inkml:trace>
  <inkml:trace contextRef="#ctx0" brushRef="#br0" timeOffset="9168">5426 782 24575,'-17'-3'0,"-4"1"0,-8 1 0,-2 1 0,6 2 0,8 7 0,8 7 0,7 10 0,16 7 0,16-2 0,28-4 0,21-8 0,-1-11 0,-8-6 0,-25-10 0,-20-5 0,-12-3 0,-8 3 0,-3 6 0,0 4 0</inkml:trace>
  <inkml:trace contextRef="#ctx0" brushRef="#br0" timeOffset="9597">5744 751 24575,'0'84'0,"0"-17"0</inkml:trace>
  <inkml:trace contextRef="#ctx0" brushRef="#br0" timeOffset="9847">5744 504 24575,'0'-4'0,"0"2"0</inkml:trace>
  <inkml:trace contextRef="#ctx0" brushRef="#br0" timeOffset="10959">5867 644 24575,'0'-7'0,"1"1"0,3 2 0,17 2 0,15-4 0,15-5 0,2-4 0,-17-2 0,-16 2 0,-21 5 0,-19 4 0,-11 3 0,-11 15 0,4 19 0,11 22 0,12 17 0,14 4 0,20-11 0,18-18 0,19-21 0,8-29 0,-3-28 0,-10-15 0,-16-8 0,-12 12 0,-9 19 0,-5 12 0,1 15 0,0 9 0,3 7 0,4 4 0,5-5 0,3-7 0,1-6 0,-1-4 0,1 0 0,6 2 0,8 9 0,4 9 0,-3 4 0,-10-1 0,-13-9 0,-6-6 0,-7-5 0,-2-2 0</inkml:trace>
  <inkml:trace contextRef="#ctx0" brushRef="#br0" timeOffset="11365">6993 1 24575,'0'32'0,"0"54"0,0-11 0,0 6 0,0 3 0,0 2 0,0-19 0,0 1 0,0 0 0,0 26 0,0-3 0,0-13 0,0-2 0,0 0 0,0-9 0,0-5 0,0-30 0</inkml:trace>
  <inkml:trace contextRef="#ctx0" brushRef="#br0" timeOffset="11973">6643 638 24575,'86'-7'0,"0"1"0,0-1 0,-1 0 0,1 1 0,12 1 0,5 2 0,-17-2 0,-42-5 0,-40-4 0,-29 22 0,-6 20 0,4 25 0,12 21 0,15 2 0,23-11 0,17-20 0,-11-24 0,0-11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12.866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11 11 24575,'-2'-2'0,"0"3"0,1 5 0,6 1 0,7 0 0,5-4 0,1-1 0,-5-7 0,-9-2 0,-9-3 0,-8 2 0,-6 4 0,1 3 0,6 7 0,6 6 0,4 6 0,2 2 0,4-5 0,0-8 0,1-10 0,-2-8 0,-4-2 0,-4 1 0,1 9 0,-1 8 0,6 8 0,7 4 0,6-2 0,4-6 0,-3-11 0,-6-9 0,-12-4 0,1 3 0,-4 4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16.333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1 1 24575,'0'36'0,"0"5"0,0 36 0,0-20 0,0 8 0,0 29 0,0 10-597,0-18 1,0 4-1,0 2 597,0-18 0,0 2 0,0 0 0,0 1 0,0 2 0,0 1 0,0 0 0,0-1 0,0 20 0,0-2 0,0 0 0,0-2 0,0 0 0,0-2 0,0-3 0,0-2 0,0 0-86,0-1 1,0-2 0,0 0 85,0-7 0,1-1 0,0-2 0,1-6 0,1 0 0,0-3 0,2 21 0,0-5 0,1-17 0,-1-5 0,2 37 0,-5-35 327,-2-27 0,0-19 0,0-10 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22.202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118 45 24575,'0'-11'0,"0"-2"0,0 0 0,0 6 0,0 9 0,0 18 0,3 19 0,4 13 0,1 4 0,0-7 0,-4-14 0,-1-12 0,-2-14 0,1-14 0,-1-16 0,-1-13 0,0-6 0,0 7 0,0 11 0,-1 18 0,0 17 0,-3 12 0,0 5 0,1-3 0,2-9 0,1-10 0,0-8 0,0-6 0,-3 0 0,-2 0 0,-2 1 0,-6-3 0,-2-7 0,-6-7 0,-3-4 0,1-1 0,3 6 0,10 7 0,20 9 0,22 13 0,19 15 0,8 8 0,-7 3 0,-14-7 0,-22-10 0,-28-11 0,-25-11 0,-17-7 0,-2-3 0,15 4 0,19 5 0,27 3 0,27 3 0,14 2 0,5 0 0,-14 0 0,-13-1 0,-10-1 0,-5-2 0,-4-7 0,-2-11 0,-1-6 0,-2-4 0,-2 8 0,-8 9 0,-11 7 0,-9 10 0,-2 5 0,5 7 0,7 3 0,13-6 0,8-8 0,8-11 0,3-5 0,-4-1 0,-10 11 0,-11 9 0,-3 8 0,1 1 0,7-7 0,5-9 0,4-9 0,3-6 0,1 3 0,-3 12 0,-6 11 0,-5 8 0,0 0 0,2-8 0,10-16 0,13-15 0,9-11 0,2-1 0,-9 12 0,-15 15 0,-13 12 0,-6 7 0,1 1 0,5-5 0,6-7 0,5-5 0,1-3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27.026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0 77 24575,'1'-13'0,"3"-6"0,3-4 0,0 6 0,-1 12 0,-4 27 0,-2 21 0,0 11 0,0 4 0,0-11 0,0-9 0,0-9 0,0-7 0,0-12 0,0-5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31.450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45 144 24575,'0'-5'0,"0"16"0,0 3 0,0 12 0,1-10 0,6-8 0,7-5 0,4-3 0,2 0 0,-3 0 0,-3 1 0,-5 3 0,-3 2 0,-5 4 0,-6 1 0,-8 1 0,-7-1 0,-1-2 0,2-4 0,4-1 0,4-3 0,1 0 0,5-1 0,3 0 0</inkml:trace>
  <inkml:trace contextRef="#ctx0" brushRef="#br0" timeOffset="470">1 119 24575,'0'-8'0,"1"1"0,4-3 0,16-3 0,13-5 0,13-4 0,-3 3 0,-14 6 0,-15 7 0,-10 4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29.955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1 185 24575,'13'0'0,"11"0"0,13 0 0,0 0 0,0-1 0,-9-3 0,-10-2 0,-2-3 0,-9-1 0,-5 4 0,-1 0 0</inkml:trace>
  <inkml:trace contextRef="#ctx0" brushRef="#br0" timeOffset="389">215 0 24575,'-2'20'0,"-2"21"0,-2 19 0,2 13 0,1-9 0,3-21 0,0-19 0,0-17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28.117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650 518 24575,'10'0'0,"4"0"0,3 5 0,-8 9 0,-17 14 0,-8 3 0,-11 4 0,3-6 0,7-8 0,4-2 0,12-12 0,17-4 0,21-1 0,16-2 0,5-2 0,-13 0 0,-21 0 0,-14 1 0</inkml:trace>
  <inkml:trace contextRef="#ctx0" brushRef="#br0" timeOffset="1157">137 6 24575,'25'-3'0,"1"0"0,2 3 0,-5 2 0,-11 5 0,-12 8 0,-16 9 0,-19 8 0,-12-1 0,-1-4 0,15-8 0,27-9 0,21-5 0,13-4 0,1 0 0,-10 6 0,-9 8 0,-9 6 0,-13 4 0,-12-3 0,-9-6 0,-4-5 0,7-5 0,11-4 0,10-2 0,6 1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35.264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57 1 24575,'13'0'0,"-3"1"0,-2 5 0,-5 2 0,-2 9 0,0 7 0,-1 3 0,0 2 0,-1-6 0,0-8 0,3-5 0,6-2 0,8 1 0,3 6 0,-4 8 0,-8 7 0,-6 3 0,-11 2 0,-9-5 0,-10-3 0,0-6 0,11-11 0,8-4 0</inkml:trace>
  <inkml:trace contextRef="#ctx0" brushRef="#br0" timeOffset="631">9 721 24575,'0'18'0,"0"5"0,0 2 0,0-3 0,2-6 0,8-7 0,8-6 0,9-2 0,0-6 0,-5-3 0,-12 2 0,-4 0 0</inkml:trace>
  <inkml:trace contextRef="#ctx0" brushRef="#br0" timeOffset="1023">128 632 24575,'0'32'0,"0"23"0,0 26 0,0-1 0,0-6 0,0-17 0,0-18 0,0-11 0,0-17 0</inkml:trace>
  <inkml:trace contextRef="#ctx0" brushRef="#br0" timeOffset="2000">0 1278 24575,'0'-4'0,"0"11"0,0 12 0,0 9 0,3-1 0,5-10 0,9-10 0,7-6 0,1-1 0,-3 5 0,-6 4 0,-6 10 0,-5 7 0,-2 4 0,-7 2 0,-4-4 0,-6-5 0,-3-7 0,2-7 0,7-5 0,2-3 0</inkml:trace>
  <inkml:trace contextRef="#ctx0" brushRef="#br0" timeOffset="2503">45 1246 24575,'4'-7'0,"10"4"0,16 0 0,14 2 0,5-1 0,-6 0 0,-13 0 0,-16 2 0,-5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33.604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41 83 24575,'9'-13'0,"6"-3"0,3-5 0,2 1 0,-6 8 0,-8 16 0,-3 28 0,-3 20 0,-2 17 0,-1 1 0,1-15 0,0-15 0,2-21 0,0-11 0</inkml:trace>
  <inkml:trace contextRef="#ctx0" brushRef="#br0" timeOffset="755">70 563 24575,'20'0'0,"-3"0"0,1 0 0,-4 0 0,-5 0 0,-2 7 0,-7 11 0,-6 13 0,-16 10 0,-12 5 0,-5-5 0,8-8 0,14-9 0,12-10 0,10-5 0,9-6 0,6-1 0,5-2 0,-1 0 0,-6 0 0,-7 0 0,-4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40.918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1 17 24575,'8'0'0,"9"0"0,21 0 0,28 0 0,33 0 0,-34 0 0,3 0 0,14 0 0,3 0 0,12 0 0,2 0-175,-28 0 0,2 0 0,-1 0 175,0 0 0,-1 0 0,-1 0 0,26 0 0,-5 0 0,-13 0 0,-5 0 0,-16-1 0,-5 0 0,20-3 0,-27 1 0,-23-2 0,-13 4 0,-6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42.512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0 7 24575,'33'-4'0,"30"2"0,-7 2 0,9 0 0,21 0 0,6 0 0,-23 0 0,2 0 0,1 0 0,3 0 0,1 0 0,-2 0 0,25 0 0,-4 0 0,-14 0 0,-6 0 0,-13 0 0,-6 0 0,22 0 0,-27 0 0,-25 0 0,-19 0 0,-6 0 0,-4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47.473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1 1 24575,'31'0'0,"20"0"0,40 0 0,-29 0 0,5 0 0,12 0 0,3 0 0,-1 0 0,0 0 0,-6 0 0,-3 0 0,-12 0 0,-5 0 0,26 0 0,-23 0 0,-21 0 0,-13 0 0,-12 0 0,-4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48.650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0 1 24575,'24'0'0,"53"0"0,0 0 0,12 0 0,-10 0 0,6 0 0,3 0-671,-14 0 1,3 0 0,0 0-1,1 0 671,0 0 0,1 0 0,-1 0 0,-2 0 0,14 0 0,-3 0 0,-4 0 284,-13 0 0,-3 0 1,-4 0-285,11 0 0,-9 0 441,12 0-441,-35 0 0,-26 0 0,-14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5:58.29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85 52 24575,'4'5'0,"7"4"0,14-2 0,-7-1 0,7-3 0,-18-5 0,-7-3 0,-13-1 0,-11 0 0,-9 3 0,3 5 0,9 11 0,10 7 0,13 7 0,12-4 0,10-8 0,5-11 0,-5-15 0,-11-12 0,-18-8 0,-16-1 0,-11 9 0,-5 9 0,8 8 0,12 9 0,9 11 0,14 7 0,16 2 0,14-5 0,4-12 0,-7-14 0,-14-14 0,-15-7 0,-16 2 0,-13 11 0,-5 10 0,3 7 0,11 9 0,9 5 0,12 4 0,11-2 0,8-6 0,2-6 0,-8-5 0,-11-2 0,-10 1 0,-3 1 0,0 6 0,2 7 0,9 4 0,9 0 0,8-6 0,2-12 0,-6-13 0,-10-7 0,-11-2 0,-10 8 0,-4 9 0,1 8 0,7 6 0,5 5 0,6 1 0,0-3 0,0-6 0,0-3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6:02.55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2122 24575,'0'-16'0,"0"2"0,0-7 0,0-1 0,2 10 0,11 6 0,11 14 0,11 7 0,6-3 0,-4-17 0,-4-24 0,-6-16 0,-7-6 0,-6 12 0,-3 17 0,-2 13 0,4 12 0,7 7 0,12 1 0,7-6 0,5-19 0,-3-20 0,-9-8 0,-7 4 0,-8 15 0,-4 14 0,-2 6 0,-2 5 0,-1 0 0,11-12 0,23-21 0,6-8 0,22-19 0,4 1 0,-9 12 0,-2 4 0,-24 23 0,-13 15 0,1 10 0,10 5 0,11-1 0,13-8 0,8-20 0,-5-13 0,-12-5 0,-15 5 0,-15 15 0,-6 9 0,-2 4 0,4 2 0,8 0 0,11-1 0,9-5 0,0-3 0,-3-1 0,-9 2 0,-7 7 0,-5 5 0,0 3 0,6 0 0,7-6 0,8-14 0,1-10 0,-5-5 0,-6 4 0,-9 11 0,-3 9 0,5 3 0,10 1 0,14-4 0,10-11 0,1-8 0,-3-3 0,-9 5 0,-9 11 0,-3 6 0,0 4 0,6 0 0,12-9 0,8-15 0,4-12 0,-4-8 0,-9 6 0,-9 12 0,-6 12 0,-3 5 0,1 0 0,6-6 0,11-9 0,11-6 0,5 3 0,-1 5 0,-8 10 0,-11 8 0,-13 2 0,-12 2 0,20-19 0,30-26 0,6-8 0,-32 20 0,-1-1 0,-6 4 0,-2 2 0,27-19 0,-1 4 0,-26 22 0,-14 11 0,-3 10 0,5 3 0,10 1 0,7 0 0,3-1 0,-1-6 0,-4-4 0,-6-2 0,-6-1 0,-2 2 0,5 5 0,12-1 0,10 2 0,6-3 0,-7-1 0,-9 2 0,-11 1 0,-3 2 0,7 1 0,13-3 0,13-4 0,2-3 0,-8-1 0,-15 3 0,-16 3 0,-7 3 0,1 0 0,10-3 0,17-3 0,18-3 0,14-2 0,7-4 0,2-2 0,-1 1 0,-3 3 0,-4 3 0,-8 1 0,-6-1 0,-4-3 0,-4-3 0,-4 1 0,-10 4 0,-10 4 0,-9 2 0,-7 2 0,-6 0 0,-4 0 0,-2-1 0,0 1 0,2-1 0,5 0 0,4-1 0,4-3 0,0 1 0,-5 2 0,-6 1 0,-7 4 0,-2 1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0:16:04.58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24575,'0'23'0,"0"-1"0,0 9 0,0 2 0,2 0 0,11 0 0,17-12 0,19-8 0,12-5 0,5-2 0,-3 4 0,-6 7 0,-6 12 0,-6 12 0,-4 16 0,-7 10 0,-11-1 0,-10-9 0,-9-17 0,-3-15 0,4-13 0,26-8 0,39-5 0,-12 0 0,7 0 0,16 0 0,4 2 0,3 3 0,1 3 0,-2 3 0,-3 3 0,-10 3 0,-5 3 0,-10 1 0,-5 1 0,30 14 0,-24-6 0,-13-10 0,-6-9 0,-2-6 0,-4-4 0,-6 0 0,-10-1 0,-9 1 0,-5-1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40:30.115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20 3021 24575,'-14'0'0,"9"-1"0,9-9 0,27-23 0,33-34 0,-16 16 0,5-5 0,-9 10 0,4-3 0,1-1-322,6-7 0,1-1 1,1-2 321,3-6 0,1-3 0,0-4-443,-13 11 1,0-2 0,-1-3 0,-2-2 442,1-6 0,-2-2 0,-3-3 0,-1 0 0,-3-1 0,-2-2 0,-2-1 0,-3 0 0,-4 1 0,-2 0 0,-3-1 0,-3 3-230,0-19 1,-4 3 0,-5 2 229,-4 13 0,-3 2 0,-5 2 0,-9-26 0,-11 8 0,-9 18 0,-12 10 421,-12 15 1,-10 12-422,-12 8 0,-4 11 892,-4 11 1,0 12-893,1 12 0,4 11 397,8 10 0,7 10-397,9 12 0,10 10 0,8 10 0,9 7 0,7 11 0,8 5-323,10-24 0,4 2 1,4 2 322,5 8 0,6 3 0,5 0 0,7 4 0,6 1 0,6-3 0,-5-22 0,4-2 0,3-1 0,2-3 0,18 17 0,5-4 0,4-6 0,2-8 0,2-5 0,3-6 0,-1-7 0,1-5 0,0-5 0,-5-6 0,0-4 0,0-2 0,25 3 0,-3-5 0,-17-4 0,-5-4 0,-18-3 0,-4-1 0,16 1 0,-31-6 0,-21-3 0,-8-1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40:32.257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248 608 24575,'-21'0'0,"-2"9"0,-4 24 0,5 60 0,14-20 0,3 8 0,2-14 0,1 4 0,3 1-221,3 7 1,3 1 0,4-2 220,5-3 0,4-3 0,4-3 0,20 23 0,9-12 81,9-20 1,6-13-82,0-15 0,2-14 0,0-13 0,-1-14 0,5-19 0,-4-14 0,-2-16 0,-7-11 0,-22 15 0,-4-5 0,-4-3 0,-2-3 0,-4-2 0,-4 0 0,2-33 0,-9 0 0,-5 9 0,-10 2 0,-10 7 0,-12 4 0,-15 6 0,-11 7 0,-14 6 0,-9 8 0,-12 1 0,-5 8 0,-4 8 0,-2 7 0,3 8 0,1 9 249,8 10 0,4 10-249,13 10 0,7 9 0,13 9 0,10 8 0,9 9 0,10 4 0,9 4 0,10 1 0,11 3 0,11-2 0,15-2 0,9-5 0,14-5 0,7-8 0,8-9 0,3-9 0,-1-8 0,1-9 0,-4-10 0,-2-11 0,-3-8 0,-3-9 0,-5-7 0,-4-7 0,-4-5 0,-4-6 0,-5-3 0,-4-3 0,-7 0 0,-5-3 0,-4-1 0,-5 0 0,-4 1 0,-6 1 0,1-40 0,-7 21 0,-5 26 0,-3 25 0,-4 17 0,-1 19 0,0 41 0,7 2 0,3 7 0,7 26 0,4 7 0,0-18 0,2 2 0,2 0 0,2 0 0,2-1 0,1-1 0,1-6 0,2-1 0,1-3 0,12 17 0,2-6 0,-1-18 0,2-8 0,3-10 0,2-8 0,49 2 0,-1-34 0,0-29 0,-49 3 0,-3-8 0,-1-12 0,-2-5 0,1-7 0,-4-5 0,0-8 0,-4-3 0,-3-6 0,-3-2 0,-6-5 0,-4-1 0,-5 0 0,-4 2 0,-3 5 0,-4 4 0,-4 10 0,-4 5 0,-11-30 0,-7 35 0,0 32 0,7 28 0,7 39 0,7 10 0,4 12 0,4 25 0,7 10 0,0-15 0,5 5 0,2 1-447,7 9 0,3 2 0,4-1 447,5-1 0,3-1 0,2-3 0,0-9 0,1-3 0,1-6 0,-4-12 0,1-5 0,2-7 0,14 5 0,1-12 0,-7-18 0,0-7 0,39-5 0,-18-24 0,-25-10 335,-16-2 0,-16 9 0,-8 8 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40:44.51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145 1322 24575,'0'-17'0,"0"-8"0,0-13 0,0-2 0,0-7 0,-3-5 0,-1-4 0,-2-5 0,-1 4 0,3 9 0,1 7 0,0 7 0,1 4 0,1 1 0,-1 3 0,2 0 0,-1 1 0,-1 0 0,-1-1 0,-1-3 0,-1 0 0,-1-1 0,1 2 0,2 2 0,2-1 0,1 1 0,0-1 0,0 2 0,0 4 0,0 1 0,0 0 0,1 2 0,1 1 0,3 3 0,3 1 0,2 0 0,2 0 0,3-1 0,1-1 0,2 2 0,-1 0 0,1 2 0,0 1 0,-1 0 0,3 1 0,0 1 0,1 1 0,2 3 0,0 1 0,3 0 0,2 1 0,2 1 0,0-1 0,0 2 0,0 0 0,1 0 0,1 0 0,-2 0 0,-1 0 0,-4 0 0,-4 0 0,-4 0 0,-3 0 0,-2 0 0,-1 0 0,1 1 0,-1 2 0,0 3 0,0 4 0,0 2 0,0 2 0,1 4 0,0 1 0,-1 1 0,1-1 0,0 0 0,2 3 0,-1 1 0,1 1 0,-1 1 0,-4 1 0,-4 1 0,-3 3 0,-2 2 0,0-1 0,0 2 0,0-2 0,0 0 0,0-3 0,0-1 0,0-2 0,0-2 0,0-1 0,0-1 0,0 2 0,0 1 0,1 2 0,2 5 0,1 4 0,0 4 0,0 1 0,-1-3 0,0-3 0,0-3 0,0-4 0,0-3 0,0-1 0,-1-2 0,2-2 0,0-1 0,0-4 0,-1-1 0,-2-4 0,1-1 0,0-3 0,2-4 0,1 0 0,-2-4 0,3-5 0,0-10 0,3-13 0,3-14 0,-1-13 0,0-4 0,-5 2 0,-3 6 0,-2 7 0,-1 6 0,0 2 0,0 4 0,0 2 0,0 4 0,-2 1 0,-1 0 0,-2-5 0,-1 1 0,2-1 0,-1 4 0,1 4 0,-3 2 0,1 2 0,-2-1 0,0-1 0,-1 1 0,-1 1 0,-2 1 0,1 2 0,-2 0 0,-1 0 0,-1 0 0,-2 2 0,-2 1 0,-3 0 0,-3 1 0,1-1 0,-2 0 0,1 1 0,-1 1 0,-2 1 0,1-1 0,0 1 0,0 0 0,0 1 0,-1 2 0,-4 2 0,-3 3 0,-3 2 0,-1 2 0,1 0 0,2 0 0,-1 0 0,-1 0 0,0 0 0,1 3 0,4 3 0,4 6 0,4 5 0,2 3 0,3 1 0,3 1 0,4-1 0,3 2 0,3 0 0,1 3 0,1 2 0,1 3 0,1 2 0,0 0 0,-1 0 0,3 1 0,-2-2 0,2 1 0,-1-1 0,1 1 0,1 0 0,0-1 0,0 1 0,0-1 0,1 0 0,1-2 0,0 0 0,1-1 0,-1 1 0,1 2 0,-1 1 0,0 0 0,-1-1 0,-1-2 0,0 0 0,0-2 0,0 1 0,0-1 0,2-3 0,-1 0 0,2-5 0,2 0 0,-1-2 0,2 0 0,0 0 0,0 1 0,0 1 0,-1 2 0,0-2 0,-2-2 0,-1-4 0,-1-8 0,-1-7 0,0-10 0,0-8 0,0-8 0,0-4 0,0-4 0,2-2 0,2-1 0,2 0 0,3 0 0,1-2 0,0-4 0,0-4 0,-1-6 0,0 2 0,-3 5 0,-3 8 0,-1 9 0,-2 3 0,0 3 0,0 2 0,0 1 0,0 1 0,-1 0 0,-2-2 0,-1-3 0,-1-2 0,2-1 0,1 1 0,2-1 0,0-2 0,0-1 0,0-1 0,0-1 0,0 3 0,0 2 0,0 2 0,0 2 0,0 0 0,2 2 0,3 4 0,1 5 0,3 4 0,1 4 0,1 0 0,5-1 0,3 0 0,4 2 0,2-1 0,1 3 0,0 0 0,3 1 0,0 1 0,-1 0 0,1 0 0,-3 0 0,-1 0 0,0 1 0,-1 3 0,2 2 0,1 2 0,1-1 0,2 1 0,-1 0 0,1 0 0,1-2 0,-3-1 0,0-1 0,-3 1 0,-3 0 0,0 0 0,-1-1 0,-1 0 0,-1 0 0,-3 0 0,-2 0 0,-4 0 0,-3 2 0,-3 1 0,-1 0 0,-1 2 0,1 1 0,0 1 0,0 2 0,-1 1 0,0 7 0,-1 4 0,-1 6 0,0 4 0,0 4 0,0 1 0,0-1 0,0-2 0,0-4 0,0-1 0,-1 1 0,0 1 0,-2 2 0,-1 3 0,1 1 0,2 0 0,1 0 0,0 1 0,0-2 0,0-3 0,0-5 0,0-6 0,0-5 0,0-2 0,0-4 0,0 1 0,0-1 0,0-1 0,0 0 0,0-4 0,0-3 0,0-8 0,1-12 0,0-7 0,3-19 0,-1-17 0,-1-15 0,0-13 0,-2 7 0,0 12 0,0 12 0,-3 8 0,-3 3 0,-2 2 0,-2 4 0,1 6 0,-1 4 0,-1-2 0,-2-3 0,0-5 0,0-1 0,0 3 0,3 4 0,0 5 0,-2 2 0,-3-1 0,-2 2 0,-3 2 0,-1 1 0,-2 2 0,-2 0 0,-2 2 0,1 3 0,-1 3 0,2 2 0,1 2 0,-1 1 0,0 1 0,0 2 0,1 1 0,-1 1 0,1 0 0,-3 0 0,-2 2 0,-1 3 0,0 4 0,5 2 0,6 1 0,5 0 0,1 2 0,-1 3 0,-2 5 0,0 5 0,-1 5 0,1 3 0,-1-1 0,1-2 0,2-6 0,0-2 0,2-2 0,-2-1 0,0 0 0,2 1 0,1 2 0,2 1 0,1 4 0,1 1 0,4 0 0,1 2 0,1 0 0,1 2 0,0 5 0,0 6 0,0 4 0,0 1 0,0-4 0,0-4 0,0-2 0,0-3 0,0-2 0,0-2 0,0-2 0,0-3 0,0-2 0,0-3 0,0-3 0,0-4 0,0-3 0,0-2 0,0-5 0,0-2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40:52.14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58 269 24575,'0'25'0,"0"7"0,0 14 0,0 20 0,0 9 0,0 9 0,2-1 0,4-4 0,3-1 0,6-2 0,2 0 0,3-2 0,2-3 0,1-5 0,1-5 0,-1-5 0,-1-6 0,-2-4 0,0-6 0,1-4 0,2 0 0,0-2 0,0 1 0,-1 0 0,0 0 0,1 1 0,1 0 0,3-3 0,2-4 0,1-4 0,3-5 0,-1-3 0,0-6 0,-1-4 0,0-4 0,0-4 0,0-7 0,1-10 0,1-13 0,-1-15 0,0-8 0,-4-5 0,-5-1 0,-5 2 0,-4-2 0,-5-5 0,-3-4 0,-4-4 0,-2 0 0,0 6 0,0 1 0,-3 1 0,-2 2 0,-2 0 0,-2 4 0,1 1 0,3-1 0,0-7 0,1-6 0,2-2 0,0 6 0,2 9 0,0 12 0,0 8 0,0 4 0,0 3 0,0 4 0,0 4 0,0 6 0,0 7 0,0 7 0,0 19 0,0 6 0,0 19 0,2 8 0,0 13 0,2 15 0,0 13 0,0 3 0,0 4 0,-2-5 0,0-4 0,-2-5 0,0-6 0,0-3 0,-4 0 0,-4 0 0,-4-2 0,-5-5 0,-1-7 0,-5-2 0,-3-3 0,-3 0 0,-3-4 0,-2-3 0,0-3 0,-1-8 0,-2-6 0,0-7 0,-1-6 0,0-5 0,0-5 0,-4-4 0,-1-3 0,-2-6 0,2-8 0,4-9 0,4-8 0,7-6 0,3-5 0,2-7 0,1-3 0,1-4 0,0-4 0,0-6 0,1-7 0,0-5 0,2-3 0,3 3 0,3 5 0,5 6 0,2 3 0,2 3 0,1 2 0,1 3 0,1 2 0,0 0 0,1 1 0,4 1 0,2 3 0,1 6 0,-1 7 0,-4 11 0,-2 7 0,-1 7 0,0 8 0,0 14 0,0 9 0,2 19 0,3 13 0,6 18 0,8 12 0,10 8 0,5 0 0,7-1 0,-1-4 0,-2-7 0,-5-6 0,-6-10 0,-5-6 0,-3-7 0,-4-4 0,-2-1 0,2-2 0,2-2 0,1-2 0,1-3 0,0-3 0,3-3 0,0-2 0,1-3 0,0-2 0,0-4 0,0-4 0,-2-5 0,-2-4 0,0-2 0,3-2 0,7 0 0,3-1 0,3-1 0,-3-6 0,-4-5 0,-4-9 0,-3-4 0,1-5 0,3-7 0,2-11 0,0-11 0,-3-8 0,-2-3 0,-3 0 0,-2-2 0,0 0 0,-5-1 0,-3 0 0,-5 6 0,-4 2 0,0 2 0,0 3 0,-1-5 0,-5 3 0,-2 1 0,-3 1 0,0 5 0,2-1 0,-1-2 0,1-2 0,0-2 0,1 5 0,1 8 0,1 15 0,0 13 0,2 12 0,2 8 0,1 8 0,1 7 0,0 12 0,0 13 0,0 17 0,4 18 0,1 13 0,2 15 0,-3-48 0,-1 1 0,0 1 0,-1 0 0,0-1 0,-1 1 0,0-4 0,0 0 0,0 41 0,-1-8 0,0-11 0,0-6 0,-2-3 0,-4 1 0,-5-1 0,-5-5 0,-4-3 0,-3-9 0,-2-4 0,-4-4 0,-2-5 0,-4-2 0,-3-4 0,1-5 0,1-3 0,0-5 0,1-6 0,0-5 0,0-3 0,0-2 0,0-3 0,1-4 0,0-7 0,-4-8 0,-1-6 0,1-1 0,4-1 0,6-3 0,3-2 0,0-8 0,-1-10 0,1-7 0,3-8 0,5-2 0,6 3 0,6 2 0,3 5 0,1 7 0,-1 6 0,0 4 0,1 3 0,1 1 0,0 1 0,0 2 0,0 4 0,0 5 0,0 5 0,0 5 0,0 2 0,0 3 0,0 4 0,1 1 0,0 4 0,0 3 0,0 4 0,-1 5 0,0 5 0,0 5 0,0 10 0,0 8 0,2 12 0,2 11 0,4 7 0,4 5 0,2 1 0,1-2 0,3-4 0,2-7 0,3-5 0,3-4 0,2-5 0,0-2 0,1-4 0,0-4 0,-1-5 0,-1-3 0,-4-4 0,0-2 0,-2-3 0,-3-3 0,1 0 0,1-1 0,4 2 0,6 1 0,1 0 0,1-2 0,-2-4 0,-5-4 0,-3-1 0,-2-4 0,-2 1 0,-2-1 0,-1-1 0,-3-1 0,0-4 0,-1-9 0,1-10 0,1-11 0,1-8 0,2-2 0,1-1 0,1 0 0,-2-1 0,-3-2 0,-1-8 0,1-5 0,-1-4 0,0 0 0,1 4 0,0 2 0,1 7 0,-1 4 0,-1 6 0,-2 5 0,-3 3 0,-3 4 0,-1 4 0,-2 12 0,-1 4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40:57.7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82 24575,'35'7'0,"12"10"0,24 18 0,-26-8 0,1 3 0,6 5 0,2 2 0,0 1 0,2 0 0,-1-1 0,0-2 0,-8-6 0,-1-1 0,30 17 0,-18-11 0,-21-10 0,-11-6 0,-10-4 0,-9-9 0,-9-9 0,-21-17 0,-25-22 0,-25-17 0,30 26 0,-3-1 0,-2 0 0,-2 1 0,-1 0 0,-1 2 0,1 0 0,1 1 0,1 0 0,0 1 0,5 3 0,2 1 0,-26-16 0,16 10 0,20 13 0,18 9 0,16 8 0,21 15 0,25 19 0,20 17 0,-28-20 0,1 1 0,0 1 0,0-2 0,30 24 0,-12-11 0,-16-12 0,-16-12 0,-11-10 0,-7-4 0,-5-3 0,-2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41:01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735 109 24575,'-21'44'0,"-14"22"0,9-18 0,-3 2 0,-7 9 0,-1 0 0,-2 2 0,1-3 0,2-7 0,3-2 0,-20 23 0,23-27 0,15-22 0,16-24 0,17-29 0,21-36 0,-9 16 0,1-6 0,4-9 0,0-4 0,0-4 0,-2 1 0,-6 6 0,-2 3 0,-6 13 0,-3 4 0,5-14 0,-11 34 0,-6 29 0,-13 34 0,-23 40 0,4-19 0,-5 4 0,-12 15 0,-4 3 0,13-22 0,-2 0 0,1 0 0,-19 26 0,2-3 0,4-10 0,4-5 0,12-16 0,3-5 0,-8 12 0,25-35 0,28-37 0,27-34 0,22-26 0,-26 31 0,1-1 0,-2 2 0,-3 0 0,20-28 0,-16 18 0,-17 21 0,-13 17 0,-12 16 0,-18 22 0,-23 27 0,-15 19 0,27-28 0,1 0 0,-26 38 0,18-18 0,16-19 0,17-28 0,25-41 0,27-41 0,-13 19 0,2-2 0,5-7 0,1 1 0,-5 6 0,-1 2 0,18-24 0,-22 30 0,-29 43 0,-29 41 0,0-1 0,-4 4 0,-9 13 0,-3 4 0,-1 1 0,1 0 0,3-5 0,3-3 0,-16 25 0,25-33 0,18-25 0,19-32 0,24-35 0,19-31 0,-17 29 0,2-2 0,1 0 0,-1 1 0,-4 5 0,-2 3 0,16-22 0,-17 24 0,-17 26 0,-18 28 0,-18 25 0,-16 24 0,-6 10 0,6-9 0,14-17 0,15-25 0,14-23 0,14-23 0,12-22 0,11-17 0,1-8 0,-5 7 0,-6 10 0,-9 16 0,-6 12 0,-6 15 0,-8 23 0,-10 25 0,-10 22 0,-7 10 0,2-5 0,6-16 0,7-17 0,6-18 0,3-18 0,2-17 0,0-8 0,-3-11 0,-7-2 0,-7 2 0,-4 1 0,-3 9 0,2 7 0,3 6 0,9 5 0,19 12 0,24 13 0,10 6 0,23 17 0,6 6 0,8 4 0,6 3 0,-23-13 0,-17-10 0,-21-10 0,-13-8 0,-14-5 0,-21-16 0,-22-20 0,-20-17 0,-11-13 0,6 3 0,14 9 0,17 11 0,19 14 0,12 10 0,14 9 0,18 9 0,20 14 0,20 11 0,9 6 0,-5-3 0,-19-10 0,-20-10 0,-23-17 0,-25-21 0,-31-27 0,14 20 0,-5 0 0,-3-1 0,-1 3 0,3 5 0,1 2 0,-22-5 0,26 15 0,20 10 0,28 13 0,36 20 0,29 17 0,-30-17 0,1 1 0,-1-2 0,-3-2 0,22 11 0,-28-13 0,-32-23 0,-40-30 0,-38-34 0,27 23 0,-3-1 0,-1 0 0,0 0 0,8 8 0,4 4 0,-12-8 0,44 25 0,50 39 0,-2 2 0,6 6 0,13 10 0,2 4 0,0 3 0,-2-1 0,-4-3 0,-4-3 0,-8-8 0,-4-3 0,14 12 0,-20-17 0,-24-13 0,-7-8 0,-7-3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41:03.5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334 651 24575,'-6'0'0,"21"0"0,32 0 0,37-1 0,-33-1 0,2 1 0,-1 0 0,-1 0 0,29-2 0,-29 2 0,-24 1 0,-26 0 0,-39 3 0,-54 8 0,17 1 0,-6 1 0,-11 3 0,-1 2 0,4 0 0,4 0 0,16-4 0,8-1 0,-3 4 0,64-9 0,72-4 0,-16-4 0,4-2 0,9-2 0,-1 0 0,-5-1 0,-4-2 0,26-7 0,-39 4 0,-59 5 0,-57 4 0,18 0 0,-4 1 0,-5 0 0,1 0 0,-35 0 0,46 0 0,63 0 0,51-1 0,-15-1 0,4 0 0,6-1 0,-2-1 0,40-2 0,-24 1 0,-33 3 0,-33 0 0,-42-1 0,-38 0 0,21 1 0,-3 1 0,-3 0 0,1 0 0,-31 1 0,31 0 0,48-3 0,57-4 0,-1 0 0,6 0 0,13-1 0,3 0 0,0 0 0,-1 1 0,-13 1 0,-4 2 0,14-2 0,-32 2 0,-21 2 0,-11 1 0</inkml:trace>
  <inkml:trace contextRef="#ctx0" brushRef="#br0" timeOffset="2100">807 0 24575,'0'20'0,"0"23"0,0 40 0,0-34 0,0 3 0,0 14 0,0 4 0,0 3 0,0 0 0,0-4 0,0-2 0,0-3 0,0-5 0,0 10 0,0-42 0,-12-76 0,-2-4 0,-2-9 0,-6-18 0,-2-5 0,-4-8 0,-1 2 0,3 16 0,1 7 0,-13-25 0,14 49 0,10 63 0,10 67 0,2-18 0,2 5 0,1 13 0,1 1 0,1-7 0,2-4 0,0-18 0,1-5 0,7 10 0,-4-48 0,-7-62 0,-10-49 0,0 30 0,-1-3 0,-2-1 0,0 3 0,0 12 0,2 6 0,-4-11 0,8 65 0,11 72 0,1-14 0,3 6 0,1 10 0,2 2 0,1-5 0,0-4 0,-2-17 0,-1-5 0,5 13 0,-7-37 0,-5-57 0,-2-55 0,-2 23 0,0-4 0,0-8 0,0 1 0,0 13 0,0 5 0,0-8 0,0 81 0,3 80 0,1-26 0,1 5 0,1 7 0,1 0 0,1-13 0,1-5 0,6 24 0,-3-41 0,-5-63 0,-4-68 0,-1 19 0,-1-5 0,1-11 0,1-1 0,0 9 0,0 4 0,4-26 0,-3 46 0,-2 66 0,-2 61 0,0-21 0,0 5 0,0 6 0,0 0 0,0-10 0,0-5 0,0 19 0,2-41 0,-1-76 0,0-7 0,0-8 0,-1-16 0,0-3 0,0-8 0,0 1 0,0 17 0,0 6 0,-1-17 0,-1 58 0,1 82 0,0-7 0,0 7 0,1 13 0,0 1 0,0-2 0,0-4 0,0 29 0,-1-39 0,-8-80 0,-1-27 0,-1-13 0,-6-22 0,0-6 0,3 21 0,0-3 0,0 3 0,-6-24 0,0 7 0,5 24 0,2 7 0,-5-9 0,10 62 0,12 70 0,2-9 0,2 6 0,1 13 0,0 4 0,1 3 0,-1-2 0,-3-12 0,-1-3 0,-3-15 0,-1-4 0,-1 20 0,0-32 0,-1-22 0,1-9 0,-1-5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41:09.9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24575,'0'0'0</inkml:trace>
  <inkml:trace contextRef="#ctx0" brushRef="#br0" timeOffset="425">194 1 24575,'0'0'0</inkml:trace>
  <inkml:trace contextRef="#ctx0" brushRef="#br0" timeOffset="1383">14 302 24575,'8'13'0,"9"2"0,8 2 0,3-2 0,0-5 0,-3-4 0,-2-2 0,1-2 0,1-1 0,0-6 0,2-9 0,-1-9 0,-3-7 0,-3-5 0,-5 1 0,-4 0 0,-3 4 0,-3 7 0,-3 11 0,-1 6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41:12.6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24575,'15'0'0,"-3"0"0</inkml:trace>
  <inkml:trace contextRef="#ctx0" brushRef="#br0" timeOffset="357">179 0 24575,'0'0'0</inkml:trace>
  <inkml:trace contextRef="#ctx0" brushRef="#br0" timeOffset="1552">63 258 24575,'14'11'0,"5"3"0,7 2 0,-2-1 0,0-3 0,-1-2 0,-2-2 0,2 1 0,0-3 0,0-1 0,1-4 0,0-4 0,-3-5 0,-2-6 0,-3-6 0,-1-3 0,-3 0 0,-3 3 0,-4 4 0,-3 8 0,-1 3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54:48.171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2168 0 24575,'0'72'0,"0"0"0,0 16 0,0-13 0,0 10 0,0 5 0,0 3-1338,0-4 0,0 4 0,0 3 0,0 2 0,0 1 1338,0-6 0,0 2 0,0 2 0,0 1 0,0-1 0,0-1 0,0-1 0,0 1 0,0-1 0,0 0 0,0-2 0,0-1 0,0 7 0,0-1 0,0-2 0,0-1 0,0-3 163,0 10 1,0-2 0,0-4-1,0-5-163,0 4 0,0-5 0,0-6 659,0 15 0,0-11-659,0-34 0,0-6 0,0 11 0,0-37 0,0-14 0</inkml:trace>
  <inkml:trace contextRef="#ctx0" brushRef="#br0" timeOffset="1900">1647 4253 24575,'-28'0'0,"5"1"0,0 12 0,8 22 0,6 28 0,7 24 0,16 4 0,16-8 0,12-17 0,0-18 0,-7-11 0,-14-13 0,-11-6 0,-13-6 0,-15-5 0,-12-2 0,-5-3 0,4-2 0,10-5 0,9-13 0,11-18 0,7-20 0,8-16 0,5-8 0,-1-3 0,-3 3 0,-6 8 0,-5 16 0,-2 18 0,-2 21 0,0 10 0</inkml:trace>
  <inkml:trace contextRef="#ctx0" brushRef="#br0" timeOffset="2586">1778 4201 24575,'18'0'0,"4"0"0,3 5 0,-3 17 0,-8 21 0,-7 26 0,-7 17 0,-8 1 0,-9-6 0,-2-15 0,3-15 0,7-12 0,13-15 0,17-7 0,16-6 0,12-4 0,0-3 0,-11-4 0,-8 0 0,-7-1 0,-4-6 0,-1-8 0,1-11 0,-9 9 0,0 1 0</inkml:trace>
  <inkml:trace contextRef="#ctx0" brushRef="#br0" timeOffset="3041">2169 4452 24575,'0'21'0,"0"12"0,0 5 0,1 10 0,5-1 0,7-6 0,9-2 0,8-20 0,4-11 0,-1-9 0,-7-12 0,-9-22 0,-11-21 0,-11-14 0,-18 0 0,-20 11 0,-16 14 0,21 21 0,8 10 0</inkml:trace>
  <inkml:trace contextRef="#ctx0" brushRef="#br0" timeOffset="3557">2372 4308 24575,'9'69'0,"0"0"0,0-1 0,6 24 0,4-10 0,24 6 0,3-33 0,-3-25 0,-9-37 0,-10-48 0,-17-40 0,-14 33 0,-8-2 0,-5 4 0,-5 4 0,-6 11 0,-4 8 0,-39-10 0,33 31 0,10 11 0</inkml:trace>
  <inkml:trace contextRef="#ctx0" brushRef="#br0" timeOffset="4917">684 5070 24575,'-13'0'0,"-13"0"0,-25 0 0,-30 0 0,-16 2 0,2 17 0,24 28 0,31 24 0,21 18 0,22-8 0,15-20 0,8-23 0,-1-27 0,-12-23 0,-24-16 0,-27-10 0,-16 6 0,-8 12 0,9 31 0,19 30 0,14 27 0,17 19 0,21-7 0,23-17 0,20-25 0,17-29 0,1-29 0,-6-24 0,-6-10 0,-9 6 0,-2 20 0,-7 25 0,-10 25 0,-12 26 0,-22 13 0,-25 3 0,-21-11 0,-10-19 0,6-12 0,26-18 0,37-16 0,-6 4 0,14-6 0</inkml:trace>
  <inkml:trace contextRef="#ctx0" brushRef="#br0" timeOffset="5203">913 5452 24575,'0'43'0,"0"50"0,1-17 0,1 7 0,-1 15 0,1 2 0,-1 0 0,1-4 0,0-12 0,-1-9 0,-1 11 0,0-38 0</inkml:trace>
  <inkml:trace contextRef="#ctx0" brushRef="#br0" timeOffset="7738">810 6064 24575,'-1'-72'0,"-1"0"0,1 0 0,-1-22 0,8 19 0,14 43 0,14 20 0,11 16 0,-5 17 0,-13 22 0,-13 17 0,-15 6 0,-10-9 0,-9-18 0,-5-17 0,2-14 0,11-7 0,12-9 0,23-10 0,28-16 0,23-21 0,-33 21 0,-3-3 0,-5-2 0,-4-3 0,7-41 0,-19 11 0,-13 15 0,-15 23 0,-13 19 0,-4 25 0,3 27 0,10 27 0,18 18 0,19-1 0,15-18 0,13-24 0,1-32 0,-10-33 0,-8-26 0,-11-10 0,-9 11 0,-1 21 0,-2 27 0,1 22 0,4 17 0,5 8 0,1-4 0,3-15 0,0-12 0,6-18 0,9-20 0,6-19 0,5-14 0,-3 5 0,-8 13 0,-8 15 0,-9 14 0,-11 6 0,-16 5 0,-21 15 0,-16 17 0,-2 20 0,10 16 0,16-2 0,23-12 0,20-20 0,21-29 0,6-29 0,-7-27 0,-11-11 0,-16 8 0,-3 21 0,-3 26 0,3 20 0,10 10 0,13 2 0,19-8 0,14-10 0,7-13 0,-2-12 0,-17-4 0,-19-1 0,-24 9 0,-36 17 0,-25 20 0,-18 24 0,5 15 0,23 0 0,21-13 0,28-20 0,24-22 0,16-34 0,4-45 0,-31 15 0,-6-7 0,-3-10 0,-5-2 0,-3 0 0,-2 1 0,-3 10 0,-2 3 0,-4-24 0,-8 34 0,-5 35 0,-1 43 0,3 49 0,8-17 0,2 6 0,4 10 0,4 0 0,3-3 0,3-3 0,3-13 0,4-5 0,22 15 0,1-32 0,0-32 0,4-29 0,5-20 0,-2-9 0,-9 7 0,-15 23 0,-23 32 0,-20 31 0,-5 23 0,3 2 0,13-17 0,22-19 0,16-21 0,9-15 0,4-7 0,-2 0 0,6 5 0,12 4 0,24-2 0,9-3 0,1-2 0,-10-1 0,-27 3 0,-18 3 0,-22 5 0,-10 4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55:05.630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707 1 24575,'0'23'0,"0"37"0,0 11 0,0 16 0,0 1 0,0 10 0,0 8-1488,0-31 0,0 3 1,0 5-1,0 2 1,0 4-1,0 2 1488,0-5 0,0 3 0,0 3 0,0 3 0,1 1 0,-1 1 0,1 1 0,-1 0-376,1-2 1,0 1 0,0 2 0,1 0 0,-1 1 0,0 1 0,1 1 0,-1 0 0,1 0 375,-1-4 0,1 0 0,0 2 0,0 0 0,-1 0 0,1 1 0,0-1 0,0 0 0,0-1 0,0-1 0,-1-3 0,1 1 0,0-1 0,0 0 0,0-1 0,0 0 0,0-1 0,-1-1 0,1-1 0,0-1-10,0 10 0,0-1 0,-1-1 0,1-1 1,0-1-1,0-2 0,-1 0 0,0-2 10,0 2 0,0-1 0,0-1 0,-1-2 0,1-1 0,-1-3 0,0-3-120,1 10 1,-1-3 0,-1-3-1,1-4 1,0-3 119,0 26 0,0-6 0,0-7 1242,0 11 1,0-12-1243,0-32 0,0-8 4948,0 15-4948,0-36 1008,0-18 1,0-7-1,0-5 1</inkml:trace>
  <inkml:trace contextRef="#ctx0" brushRef="#br0" timeOffset="1143">39 7823 24575,'0'-50'0,"0"22"0,0 41 0,2 26 0,2 11 0,0 1 0,0-18 0,-2-46 0,-3-64 0,-3 10 0,0-7 0,-3-12 0,-1-2 0,1 0 0,-1 3 0,2 12 0,0 5 0,3 15 0,2 5 0,11-20 0,21 35 0,22 26 0,17 36 0,2 39 0,-41-16 0,-5 6 0,-5 7 0,-6 2 0,-5 0 0,-5-1 0,-6-6 0,-4-4 0,-12 30 0,-3-27 0,4-28 0,8-19 0,6-7 0</inkml:trace>
  <inkml:trace contextRef="#ctx0" brushRef="#br0" timeOffset="1521">435 7807 24575,'4'71'0,"0"-1"0,-1-2 0,0-30 0,-3-48 0,0-40 0,0-35 0,0 28 0,0 6 0</inkml:trace>
  <inkml:trace contextRef="#ctx0" brushRef="#br0" timeOffset="1712">449 7549 24575,'0'0'0</inkml:trace>
  <inkml:trace contextRef="#ctx0" brushRef="#br0" timeOffset="2584">758 7703 24575,'0'12'0,"0"7"0,0 6 0,0 7 0,0 3 0,6-1 0,10-5 0,12-8 0,7-10 0,-2-9 0,-10-11 0,-12-26 0,-13-22 0,-17-18 0,-9 0 0,-7 20 0,11 22 0,30 23 0,30 10 0,26 3 0,10-6 0,-8-3 0,-7 4 0,-13 22 0,-8 26 0,-7 17 0,-10 7 0,-7-14 0,-6-25 0,-5-14 0</inkml:trace>
  <inkml:trace contextRef="#ctx0" brushRef="#br0" timeOffset="3488">1036 8234 24575,'0'25'0,"0"19"0,0 19 0,1 1 0,3 2 0,1-12 0,-1-19 0,-1-27 0,-3-59 0,0-43 0,-1 34 0,2-3 0,0-1 0,2 1 0,2 8 0,2 3 0,11-28 0,10 33 0,3 28 0,5 27 0,-1 22 0,-5 16 0,-10 10 0,-10-3 0,-12-7 0,-10-10 0,-3-6 0,-3-9 0,8-11 0,3-4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55:13.819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1 488 24575,'22'0'0,"-1"0"0,1 0 0,-8-1 0,-7-7 0,-5-7 0,-2-5 0,0 1 0,-2 6 0,-3 8 0,-4 8 0,-2 12 0,3 8 0,2 7 0,4-1 0,2-1 0,1-3 0,6-1 0,11-2 0,9-3 0,7-3 0,1-5 0,-3-4 0,-5-5 0,-3-12 0,-3-15 0,-3-14 0,-2-11 0,-2 4 0,-3 15 0,-3 13 0,1 19 0,1 20 0,6 15 0,8 18 0,5 3 0,3-8 0,-1-11 0,-3-16 0,-3-12 0,-1-13 0,-1-18 0,2-21 0,6-14 0,2-1 0,-1 9 0,-4 14 0,-7 13 0,-11 11 0,-17 8 0,-19 17 0,-13 14 0,-1 16 0,13 8 0,12-5 0,11-9 0,9-11 0,7-11 0,10-14 0,7-24 0,2-34 0,-5-32 0,-16 31 0,-2-3 0,-2-3 0,-3-1 0,-1 4 0,-1 2 0,-1-40 0,0 31 0,0 36 0,0 39 0,1 44 0,5 36 0,0-34 0,2 3 0,4 1 0,4-2 0,2-7 0,3-4 0,25 24 0,2-29 0,-1-21 0,0-24 0,-2-18 0,1-13 0,-5-8 0,-9 7 0,-9 9 0,-17 12 0,-12 20 0,-8 14 0,0 10 0,5 1 0,9-11 0,11-13 0,8-13 0,8-6 0,2 1 0,3 6 0,10 4 0,12 2 0,14 0 0,6 0 0,-5 0 0,-13 0 0,-20 0 0,-20 0 0,-9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55:18.25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8 24575,'37'14'0,"20"3"0,29 4 0,4-2 0,7-6 0,-41-9 0,2-1 0,0 0 0,2-1 0,7-1 0,2 0 0,2-1 0,1 0 0,-6 0 0,0 0 0,3 0 0,0 0 0,4 0 0,0 0 0,5 0 0,1 0 0,8 0 0,2 0 0,6 0 0,1 1 0,-4 4 0,-3 2 0,-8 5 0,-5 4 0,-10 4 0,-6 6 0,-14 2 0,-4 4 0,20 29 0,-25-7 0,-18-11 0,-9-14 0,-7-13 0,2-20 0,3-20 0,10-19 0,16-11 0,23-2 0,22 5 0,-33 28 0,3 3 0,4 2 0,3 4 0,6 1 0,1 4 0,2 1 0,0 3 0,4 1 0,0 1 0,-2 1 0,-1 1 0,-5 1 0,-2 0 0,-1 0 0,-1 0 0,-5 0 0,-1 0 0,47 0 0,-1 0 0,-1 0 0,-1 0 0,-3-2 0,-7-5 0,-9-6 0,-14-6 0,-15-1 0,-15 2 0,-13 6 0,-8 4 0,-6 5 0,-3 1 0</inkml:trace>
  <inkml:trace contextRef="#ctx0" brushRef="#br0" timeOffset="2002">747 913 24575,'0'-3'0,"0"8"0,0 22 0,0 23 0,0 13 0,0 1 0,0-22 0,0-21 0,0-14 0</inkml:trace>
  <inkml:trace contextRef="#ctx0" brushRef="#br0" timeOffset="2470">705 703 24575,'0'-9'0,"0"-1"0,0-1 0,8 1 0,13 4 0,18 3 0,12 2 0,0 1 0,-7 6 0,-14 14 0,-13 9 0,-10 14 0,-14 3 0,-13-3 0,-11-6 0,-3-11 0,10-11 0,11-9 0,9-2 0</inkml:trace>
  <inkml:trace contextRef="#ctx0" brushRef="#br0" timeOffset="4408">1008 1035 24575,'7'0'0,"3"0"0,2 0 0,5-1 0,0-4 0,-4-14 0,-5-18 0,-4-13 0,-9-8 0,-8 12 0,-9 17 0,-3 15 0,5 14 0,4 12 0,7 14 0,5 17 0,5 10 0,11 0 0,12-11 0,10-13 0,8-12 0,1-10 0,0-14 0,2-16 0,-2-13 0,-5-6 0,-7 8 0,-4 12 0,-5 15 0,2 20 0,2 17 0,0 9 0,1 1 0,-1-15 0,4-12 0,10-21 0,11-16 0,10-14 0,2-8 0,-9 10 0,-13 9 0,-17 14 0,-23 7 0,-23 15 0,-21 20 0,-12 20 0,5 14 0,14-2 0,16-12 0,14-15 0,18-14 0,18-11 0,15-25 0,8-32 0,0-34 0,-29 24 0,-4-5 0,-3-1 0,-2 0 0,-4 2 0,-2 2 0,-1-35 0,-5 38 0,-6 35 0,-3 37 0,1 37 0,0 25 0,13 18 0,14 0 0,14-16 0,10-18 0,0-25 0,0-20 0,2-13 0,-1-14 0,-7-8 0,-9-3 0,-14 4 0,-13 8 0,-14 13 0,-9 17 0,-3 13 0,5 7 0,7-6 0,10-15 0,13-17 0,9-13 0,11-9 0,6 0 0,9 7 0,10 7 0,7 5 0,3 1 0,-10 0 0,-16 0 0,-21 0 0,-13 0 0</inkml:trace>
  <inkml:trace contextRef="#ctx0" brushRef="#br0" timeOffset="5188">3307 718 24575,'4'18'0,"-1"27"0,-3 44 0,0-10 0,0-19 0,0-24 0,0-34 0,0-24 0,0-34 0,0-11 0,1 9 0,10 23 0,20 20 0,23 26 0,19 21 0,5 13 0,-8 4 0,-13-13 0,-16-16 0,-14-27 0,-11-41 0,-9-34 0,-6 30 0,-2-1 0,-1 0 0,-3 2 0,-4-31 0,-1 21 0,3 20 0,4 15 0,3 14 0,0 6 0</inkml:trace>
  <inkml:trace contextRef="#ctx0" brushRef="#br0" timeOffset="6337">4255 878 24575,'-43'2'0,"4"4"0,-13 10 0,3 12 0,11 9 0,7 0 0,18-12 0,13-10 0,18-10 0,15-16 0,13-18 0,3-17 0,-14-8 0,-12 12 0,-12 23 0,-2 29 0,8 32 0,12 16 0,13-1 0,10-17 0,3-26 0,1-21 0,1-12 0,-1-5 0,-6 4 0,-11 5 0,-13-5 0,-16-19 0,-28-26 0,-26-24 0,15 38 0,-4 1 0,0 3 0,2 1 0,-14-28 0,20 18 0,31 16 0,28 8 0,21 8 0,13 7 0,-10 9 0,-18 4 0,-21 3 0,-11 1 0</inkml:trace>
  <inkml:trace contextRef="#ctx0" brushRef="#br0" timeOffset="10012">2680 1664 24575,'-8'0'0,"2"-2"0,-1-2 0,-8-9 0,-13-8 0,-11-1 0,-10 5 0,8 10 0,13 17 0,13 17 0,15 12 0,18 5 0,9-9 0,4-14 0,-6-11 0,-17-11 0,-23-9 0,-18-1 0,-16 1 0,-3 14 0,14 22 0,17 24 0,28 23 0,34 2 0,-4-43 0,9-7 0,15-6 0,5-12 0,9-13 0,0-13 0,0-9 0,-4-10 0,-7-5 0,-7-5 0,-10 1 0,-7 2 0,13-17 0,-19 29 0,-12 27 0,-2 30 0,1 23 0,-4 18 0,-8 1 0,-19-15 0,-19-17 0,-10-17 0,4-12 0,16-13 0,29-13 0,33-13 0,28-7 0,-23 18 0,2 1 0,0 0 0,-2 1 0,35-15 0,-24 7 0,-24 12 0,-17 11 0,-9 26 0,-4 43 0,-3-8 0,-1 4 0,0 11 0,0 2 0,-1-3 0,1-2 0,-1-12 0,2-5 0,0 11 0,2-30 0,-1-37 0,-2-42 0,-3-35 0,-2 30 0,0-2 0,-1-1 0,-1 1 0,-3-40 0,4 18 0,8 24 0,13 19 0,14 17 0,12 15 0,0 15 0,-12 14 0,-16 7 0,-23 1 0,-19-10 0,-9-12 0,1-7 0,14-12 0,27-10 0,39-16 0,37-18 0,-29 20 0,1-2 0,0-3 0,-2-1 0,-9 1 0,-5-2 0,10-26 0,-26 14 0,-29 19 0,-20 16 0,-10 16 0,0 20 0,15 22 0,13 22 0,18 8 0,17-7 0,16-20 0,16-23 0,2-32 0,-4-30 0,-8-16 0,-12-1 0,-10 19 0,-8 19 0,-3 23 0,4 15 0,10 9 0,14 2 0,19-12 0,15-16 0,9-21 0,4-15 0,-11-6 0,-15 5 0,-22 14 0,-21 10 0,-23 12 0,-25 18 0,-16 16 0,-4 11 0,11 2 0,18-14 0,23-11 0,22-13 0,22-20 0,13-16 0,-6-9 0,-15-1 0,-17 15 0,-6 11 0,9 6 0,16 0 0,22-6 0,20-7 0,5-8 0,-5-2 0,-19 5 0,-34 6 0,-45 10 0,-45 25 0,-26 28 0,40-16 0,4 5 0,8 3 0,6 1 0,1 23 0,38-24 0,33-37 0,21-54 0,-29 2 0,-6-10 0,-2-13 0,-7-5 0,-6-3 0,-4-1 0,-6 10 0,-3 3 0,-4-32 0,-4 40 0,-1 34 0,-1 36 0,5 46 0,2 35 0,4-34 0,3 2 0,3-1 0,5-5 0,24 24 0,14-30 0,9-32 0,5-19 0,5-15 0,-2-5 0,-10-3 0,-14 6 0,-22 8 0,-31 4 0,-29 14 0,-19 13 0,-2 15 0,19 10 0,28-2 0,37-10 0,41-12 0,-18-15 0,4-2 0,6-3 0,2-1 0,1-4 0,-2-1 0,-4-1 0,-3-1 0,39-8 0,-19 3 0,-26 7 0,-38 2 0,-4 3 0,-22 1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2-07T01:55:53.60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5388,'21'-74,"4"-15,-9 35,1-2,0-5,0-2,0-2,0-2,-1-2,0 0,2-2,-1-1,1-5,0-1,0-6,0-2,0-7,0-3,-8 29,0-2,0 0,-1-1,0-1,-1 0,-1 1,-1 0,-1 0,-1 1,-1 1,0 0,-1-1,0 1,-1 0,0 0,-1 1,0-1,0-3,0 0,0 0,0-2,0 0,0 0,0 3,0 1,0 0,0 1,0 0,0 0,0-26,0 2,1 7,1 1,3 0,2 1,3 7,4 1,3 3,5 1,3 1,3 0,4 2,4 1,5-2,2 2,0 2,0 2,0 1,0 1,-4 5,-1 2,-4 6,-1 1,1 5,0 1,33-24,4 13,18 9,-39 27,3 3,2 3,3 3,2 3,0 1,-2 2,1 2,0 2,1 3,3 4,0 6,1 7,-1 7,4 9,-1 7,3 8,-1 3,-3 2,-1 2,3 3,-1 1,-5-3,0 0,-4 0,-1 2,2 4,-3 1,-6-1,-2 2,-1 3,-2 1,-3 2,-2 1,-4 0,-1 0,-4 2,-1 1,-1 3,-2 0,1 1,0 1,3 1,2 0,0-4,3-3,-1-6,1-3,-2-5,2-2,1 0,1-1,1-2,1 0,-1-4,2-1,-1 0,1-1,-3-5,-1-1,3 3,0 1,2 1,0 0,3 1,1 0,0 0,2-2,-1-1,1-1,-1-4,1-2,-3-5,0-1,-1-4,-1-1,37 24,3 0,-36-28,1 0,2 0,2 0,4 0,1 1,5 0,0-1,-1 1,-1-1,1 1,-1-1,-8-3,-3-2,24 15,-20-12,-15-14,11-7,40 0,-22 2,7 2,16 4,5 2,-27-3,1 0,0 0,29 7,-2-1,-6-1,-2-1,-9-2,-1-1,-4 0,-1-1,0 0,0 0,-2-1,-1 1,3 1,-1 0,-5-1,-1 0,-1 1,-1-1,1 1,0 0,2 0,1 0,1 1,1-1,-1 0,0 1,1-1,0 0,0 2,0 0,3 2,1 1,2 1,1 2,-5-1,0 0,3 1,-1-1,-2 0,-1 0,-2-1,-1 0,3 2,-1 0,-1 1,0 0,5 1,1 0,-1-1,-2 0,-2-1,-1 0,-1-1,0 0,-7-1,0 0,0-3,-1 0,-1-2,-1-2,-1-4,1-2,3-2,0-2,1 0,0-2,1-1,-1 0,-1 0,0 0,-1 0,0 0,-3 0,-1 0,-4 0,-2 0,36 0,-20 0,-13 2,-14 3,-13 3,-10 6,-8 0,-4 3,-3-2,0 2,0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57:09.29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215 134 24575,'-3'-11'0,"-4"1"0,-10 5 0,-8 1 0,-2 4 0,4 1 0,11 6 0,13 8 0,15 5 0,11 0 0,-4-8 0,-16-6 0,-29 4 0,-23 15 0,-5 24 0,9 27 0,25 15 0,35 0 0,35-18 0,27-26 0,17-31 0,-12-32 0,-17-23 0,-22-11 0,-17 5 0,-2 15 0,12 18 0,18 23 0,19 22 0,-34-9 0,1 3 0,-2 1 0,-1 0 0,31 18 0,-21-19 0,-22-17 0,-16-7 0,-10-5 0</inkml:trace>
  <inkml:trace contextRef="#ctx0" brushRef="#br0" timeOffset="300">887 456 24575,'-48'60'0,"6"6"0,19 10 0,8-11 0,9-20 0,4-24 0,2-14 0</inkml:trace>
  <inkml:trace contextRef="#ctx0" brushRef="#br0" timeOffset="987">1347 256 24575,'-10'1'0,"-2"5"0,2 15 0,3 18 0,3 12 0,3 2 0,6-10 0,13-15 0,16-14 0,13-10 0,2-15 0,-14-14 0,-16-11 0,-12-2 0,-10 11 0,-5 14 0,-3 12 0,0 15 0,3 12 0,14 10 0,18 1 0,17-11 0,12-16 0,-20-5 0,-11-9 0</inkml:trace>
  <inkml:trace contextRef="#ctx0" brushRef="#br0" timeOffset="1463">1697 188 24575,'5'88'0,"0"-26"0,-1 6 0,1 16 0,-1 3 0,0-8 0,0-3 0,-2-8 0,-1-5 0,-1 19 0,0-39 0,-4-56 0,3 2 0,-3-35 0</inkml:trace>
  <inkml:trace contextRef="#ctx0" brushRef="#br0" timeOffset="2297">1669 129 24575,'60'14'0,"-1"-1"0,-5 4 0,-9 7 0,-4 45 0,-21-2 0,-16-16 0,-18-21 0,-7-20 0,-6-9 0,5-11 0,11-10 0,14-10 0,25-6 0,22 3 0,20 7 0,3 6 0,-15 8 0,-20 7 0,-20 7 0,-17 17 0,-13 19 0,-5 15 0,1 5 0,16-8 0,26-17 0,28-23 0,14-27 0,1-23 0,-15-12 0,-20 4 0,-12 14 0,-12 19 0,-5 12 0,-2 6 0,0 5 0,1 0 0,3-1 0,-1-12 0,-2-14 0,-2 7 0,-2-5 0</inkml:trace>
  <inkml:trace contextRef="#ctx0" brushRef="#br0" timeOffset="2483">2522 1 24575,'0'0'0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57:06.33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7 414 24575,'-3'20'0,"0"18"0,3 13 0,0 3 0,0-17 0,0-22 0,0-23 0,0-37 0,0-38 0,0 31 0,0-3 0,0-4 0,0-1 0,0 8 0,0 3 0,7-28 0,11 26 0,12 25 0,11 16 0,-1 8 0,-6 9 0,-12 10 0,-10 14 0,-17 11 0,-17 5 0,-15-1 0,-7-7 0,7-8 0,17-16 0,10-6 0</inkml:trace>
  <inkml:trace contextRef="#ctx0" brushRef="#br0" timeOffset="2012">253 593 24575,'9'-5'0,"10"-10"0,17-9 0,-2-8 0,-8 3 0,-12 4 0,-10 3 0,-5 6 0,-11 0 0,-11 8 0,-8 4 0,-1 2 0,9 8 0,9 10 0,6 14 0,8 15 0,12 8 0,16-2 0,17-7 0,11-13 0,-1-13 0,-5-21 0,-10-29 0,-10-22 0,-9-13 0,-9 5 0,-5 22 0,-2 20 0,-1 17 0,3 14 0,1 7 0,3 1 0,2-2 0,7-7 0,7-4 0,12-8 0,12-10 0,8-9 0,1-7 0,-7 3 0,-14 7 0,-15 9 0,-17 5 0,-19 7 0,-17 17 0,-11 18 0,-1 18 0,9 10 0,14-3 0,10-8 0,6-13 0,10-13 0,13-13 0,10-13 0,12-30 0,-1-30 0,-5-34 0,-22 36 0,-4-1 0,-4 0 0,-2 1 0,-1-45 0,-4 26 0,-4 22 0,-1 24 0,0 23 0,2 31 0,13 34 0,14 29 0,-8-37 0,3-1 0,2-4 0,1-2 0,15 26 0,-3-25 0,-4-23 0,6-24 0,9-25 0,12-26 0,6-17 0,-4 4 0,-13 18 0,-16 22 0,-15 18 0,-8 20 0,-5 12 0,-2 9 0,3 3 0,14-9 0,17-9 0,15-10 0,7-5 0,-9-4 0,-14 0 0,-16 0 0,-10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1:57:16.15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 1233 24575,'3'14'0,"0"7"0,-3 10 0,0 4 0,0 0 0,0-14 0,2-10 0,2-7 0,2-6 0,-1-9 0,-1-16 0,-2-13 0,-2-4 0,-2 7 0,-3 14 0,-3 10 0,-2 7 0,3 6 0,16 0 0,23 2 0,30-1 0,21-5 0,7-2 0,-12-1 0,-21 1 0,-18 5 0,-15 13 0,-5 11 0,-3 10 0,-2 1 0,0-10 0,2-16 0,2-27 0,2-26 0,-1-15 0,-5 7 0,-4 22 0,-2 28 0,6 22 0,8 12 0,12 3 0,14-8 0,10-12 0,3-13 0,0-11 0,-9-7 0,-12-2 0,-13 5 0,-15 10 0,-13 12 0,-11 11 0,-3 5 0,3-2 0,8-8 0,11-8 0,18-3 0,26-7 0,32-13 0,-25-2 0,4-8 0,12-16 0,-1-12-303,-21 3 1,-1-7 0,-5-5 302,-2-7 0,-4-6 0,-6-2 0,-4-2 0,-6-2 0,-6 1 0,-8 6 0,-5 1 0,-7 6 0,-10-10 0,-11 11 0,-6 20 0,-6 15 0,-46 39 0,44 36 0,8 19 0,2 26 0,13 12 0,14-18 0,8 4 0,7 0-272,9 1 1,8 1-1,5-6 272,5-7 0,4-4 0,5-7 0,2-9 0,3-6 0,-1-6 434,13 4 1,-3-10-435,26 1 0,-45-21 0,-26-11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2:02:06.26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8DE4-A319-D04E-9EB0-9BADC82E2882}">
  <dimension ref="A1:U22"/>
  <sheetViews>
    <sheetView zoomScale="180" zoomScaleNormal="180" workbookViewId="0">
      <selection activeCell="U7" sqref="U7"/>
    </sheetView>
  </sheetViews>
  <sheetFormatPr defaultColWidth="11.19921875" defaultRowHeight="15.6" x14ac:dyDescent="0.3"/>
  <cols>
    <col min="1" max="1" width="13.5" bestFit="1" customWidth="1"/>
    <col min="3" max="3" width="11.5" bestFit="1" customWidth="1"/>
    <col min="4" max="4" width="12.19921875" bestFit="1" customWidth="1"/>
    <col min="5" max="5" width="18.796875" bestFit="1" customWidth="1"/>
    <col min="6" max="7" width="13.5" bestFit="1" customWidth="1"/>
    <col min="9" max="10" width="11.296875" bestFit="1" customWidth="1"/>
    <col min="20" max="20" width="20" bestFit="1" customWidth="1"/>
    <col min="21" max="21" width="13.296875" bestFit="1" customWidth="1"/>
  </cols>
  <sheetData>
    <row r="1" spans="1:21" x14ac:dyDescent="0.3">
      <c r="A1" t="s">
        <v>12</v>
      </c>
      <c r="B1" t="s">
        <v>13</v>
      </c>
      <c r="C1" t="s">
        <v>14</v>
      </c>
      <c r="D1" t="s">
        <v>15</v>
      </c>
    </row>
    <row r="2" spans="1:21" x14ac:dyDescent="0.3">
      <c r="A2" s="15">
        <v>45170</v>
      </c>
      <c r="B2" s="2">
        <v>32.630000000000003</v>
      </c>
      <c r="C2" s="16">
        <v>117893</v>
      </c>
      <c r="D2" s="2">
        <v>818.18</v>
      </c>
    </row>
    <row r="3" spans="1:21" x14ac:dyDescent="0.3">
      <c r="A3" s="15">
        <v>45200</v>
      </c>
      <c r="B3" s="2">
        <v>34.119999999999997</v>
      </c>
      <c r="C3" s="16">
        <v>115057</v>
      </c>
      <c r="D3" s="2">
        <v>797.38</v>
      </c>
    </row>
    <row r="4" spans="1:21" x14ac:dyDescent="0.3">
      <c r="A4" s="15">
        <v>45231</v>
      </c>
      <c r="B4" s="2">
        <v>35.119999999999997</v>
      </c>
      <c r="C4" s="16">
        <v>118160</v>
      </c>
      <c r="D4" s="2">
        <v>836.59</v>
      </c>
    </row>
    <row r="5" spans="1:21" x14ac:dyDescent="0.3">
      <c r="A5" s="15">
        <v>45261</v>
      </c>
      <c r="B5" s="2">
        <v>35.67</v>
      </c>
      <c r="C5" s="16">
        <v>128185</v>
      </c>
      <c r="D5" s="2">
        <v>942.08</v>
      </c>
      <c r="R5" s="28"/>
      <c r="S5" s="27" t="s">
        <v>33</v>
      </c>
      <c r="T5" s="27" t="s">
        <v>41</v>
      </c>
    </row>
    <row r="6" spans="1:21" x14ac:dyDescent="0.3">
      <c r="P6" s="27"/>
      <c r="Q6" s="27" t="s">
        <v>14</v>
      </c>
      <c r="R6" s="27"/>
      <c r="S6" s="29">
        <v>7.1414284285000003E-3</v>
      </c>
      <c r="T6" s="27">
        <v>11.34</v>
      </c>
    </row>
    <row r="7" spans="1:21" x14ac:dyDescent="0.3">
      <c r="A7" s="44" t="s">
        <v>31</v>
      </c>
      <c r="B7" s="44"/>
      <c r="C7" s="44"/>
      <c r="D7" s="44"/>
      <c r="F7" s="45" t="s">
        <v>34</v>
      </c>
      <c r="G7" s="45"/>
      <c r="H7" s="45"/>
      <c r="I7" s="45"/>
      <c r="T7" s="22">
        <f>S6*SQRT(252)</f>
        <v>0.11336666176546689</v>
      </c>
      <c r="U7" s="23" t="str">
        <f t="shared" ref="U7" ca="1" si="0">_xlfn.FORMULATEXT(T7)</f>
        <v>=S6*RAIZ(252)</v>
      </c>
    </row>
    <row r="8" spans="1:21" x14ac:dyDescent="0.3">
      <c r="A8" t="s">
        <v>12</v>
      </c>
      <c r="B8" t="s">
        <v>13</v>
      </c>
      <c r="C8" t="s">
        <v>14</v>
      </c>
      <c r="D8" t="s">
        <v>15</v>
      </c>
      <c r="E8" s="23" t="s">
        <v>15</v>
      </c>
      <c r="F8" t="s">
        <v>12</v>
      </c>
      <c r="G8" t="s">
        <v>13</v>
      </c>
      <c r="H8" t="s">
        <v>14</v>
      </c>
      <c r="I8" t="s">
        <v>15</v>
      </c>
      <c r="J8" s="23" t="s">
        <v>15</v>
      </c>
    </row>
    <row r="9" spans="1:21" x14ac:dyDescent="0.3">
      <c r="A9" s="15">
        <v>45200</v>
      </c>
      <c r="B9" s="7">
        <f>B3/B2-1</f>
        <v>4.5663499846766653E-2</v>
      </c>
      <c r="C9" s="7">
        <f t="shared" ref="C9:D9" si="1">C3/C2-1</f>
        <v>-2.4055711535036051E-2</v>
      </c>
      <c r="D9" s="7">
        <f t="shared" si="1"/>
        <v>-2.5422278716174862E-2</v>
      </c>
      <c r="E9" s="23" t="str">
        <f ca="1">_xlfn.FORMULATEXT(D9)</f>
        <v>=D3/D2-1</v>
      </c>
      <c r="F9" s="15">
        <v>45200</v>
      </c>
      <c r="G9" s="7">
        <f>LN(B3/B2)</f>
        <v>4.4651612018248993E-2</v>
      </c>
      <c r="H9" s="7">
        <f t="shared" ref="H9:I11" si="2">LN(C3/C2)</f>
        <v>-2.4349775689070485E-2</v>
      </c>
      <c r="I9" s="7">
        <f t="shared" si="2"/>
        <v>-2.5751008177509773E-2</v>
      </c>
      <c r="J9" s="23" t="str">
        <f ca="1">_xlfn.FORMULATEXT(I9)</f>
        <v>=LN(D3/D2)</v>
      </c>
    </row>
    <row r="10" spans="1:21" x14ac:dyDescent="0.3">
      <c r="A10" s="15">
        <v>45231</v>
      </c>
      <c r="B10" s="7">
        <f t="shared" ref="B10:D11" si="3">B4/B3-1</f>
        <v>2.9308323563892236E-2</v>
      </c>
      <c r="C10" s="7">
        <f t="shared" si="3"/>
        <v>2.6969241332556848E-2</v>
      </c>
      <c r="D10" s="7">
        <f t="shared" si="3"/>
        <v>4.9173543354485982E-2</v>
      </c>
      <c r="E10" s="23" t="str">
        <f t="shared" ref="E10:E11" ca="1" si="4">_xlfn.FORMULATEXT(D10)</f>
        <v>=D4/D3-1</v>
      </c>
      <c r="F10" s="15">
        <v>45231</v>
      </c>
      <c r="G10" s="7">
        <f t="shared" ref="G10:G11" si="5">LN(B4/B3)</f>
        <v>2.8887046143437629E-2</v>
      </c>
      <c r="H10" s="7">
        <f t="shared" si="2"/>
        <v>2.6611980480925897E-2</v>
      </c>
      <c r="I10" s="7">
        <f t="shared" si="2"/>
        <v>4.800275267519722E-2</v>
      </c>
      <c r="J10" s="23" t="str">
        <f t="shared" ref="J10:J11" ca="1" si="6">_xlfn.FORMULATEXT(I10)</f>
        <v>=LN(D4/D3)</v>
      </c>
    </row>
    <row r="11" spans="1:21" x14ac:dyDescent="0.3">
      <c r="A11" s="15">
        <v>45261</v>
      </c>
      <c r="B11" s="7">
        <f t="shared" si="3"/>
        <v>1.5660592255125394E-2</v>
      </c>
      <c r="C11" s="7">
        <f t="shared" si="3"/>
        <v>8.4842586323629066E-2</v>
      </c>
      <c r="D11" s="7">
        <f t="shared" si="3"/>
        <v>0.12609521988070616</v>
      </c>
      <c r="E11" s="23" t="str">
        <f t="shared" ca="1" si="4"/>
        <v>=D5/D4-1</v>
      </c>
      <c r="F11" s="15">
        <v>45261</v>
      </c>
      <c r="G11" s="7">
        <f t="shared" si="5"/>
        <v>1.5539230603884352E-2</v>
      </c>
      <c r="H11" s="7">
        <f t="shared" si="2"/>
        <v>8.1434894737676608E-2</v>
      </c>
      <c r="I11" s="7">
        <f t="shared" si="2"/>
        <v>0.11875609086742013</v>
      </c>
      <c r="J11" s="23" t="str">
        <f t="shared" ca="1" si="6"/>
        <v>=LN(D5/D4)</v>
      </c>
    </row>
    <row r="13" spans="1:21" x14ac:dyDescent="0.3">
      <c r="A13" s="24" t="s">
        <v>35</v>
      </c>
      <c r="B13" s="4">
        <f>AVERAGE(B9:B11)</f>
        <v>3.0210805221928094E-2</v>
      </c>
      <c r="C13" s="4">
        <f t="shared" ref="C13:D13" si="7">AVERAGE(C9:C11)</f>
        <v>2.9252038707049954E-2</v>
      </c>
      <c r="D13" s="4">
        <f t="shared" si="7"/>
        <v>4.9948828173005756E-2</v>
      </c>
      <c r="E13" s="23" t="str">
        <f t="shared" ref="E13:E14" ca="1" si="8">_xlfn.FORMULATEXT(D13)</f>
        <v>=MÉDIA(D9:D11)</v>
      </c>
      <c r="F13" s="24" t="s">
        <v>35</v>
      </c>
      <c r="G13" s="4">
        <f>AVERAGE(G9:G11)</f>
        <v>2.9692629588523655E-2</v>
      </c>
      <c r="H13" s="4">
        <f t="shared" ref="H13:I13" si="9">AVERAGE(H9:H11)</f>
        <v>2.7899033176510674E-2</v>
      </c>
      <c r="I13" s="4">
        <f t="shared" si="9"/>
        <v>4.7002611788369196E-2</v>
      </c>
      <c r="J13" s="23" t="str">
        <f t="shared" ref="J13:J14" ca="1" si="10">_xlfn.FORMULATEXT(I13)</f>
        <v>=MÉDIA(I9:I11)</v>
      </c>
    </row>
    <row r="14" spans="1:21" x14ac:dyDescent="0.3">
      <c r="A14" s="25" t="s">
        <v>36</v>
      </c>
      <c r="B14" s="7">
        <f>_xlfn.STDEV.S(B9:B11)</f>
        <v>1.5021799853727903E-2</v>
      </c>
      <c r="C14" s="7">
        <f t="shared" ref="C14:D14" si="11">_xlfn.STDEV.S(C9:C11)</f>
        <v>5.4485027227839225E-2</v>
      </c>
      <c r="D14" s="7">
        <f t="shared" si="11"/>
        <v>7.5761724473353498E-2</v>
      </c>
      <c r="E14" s="23" t="str">
        <f t="shared" ca="1" si="8"/>
        <v>=DESVPAD.A(D9:D11)</v>
      </c>
      <c r="F14" s="25" t="s">
        <v>37</v>
      </c>
      <c r="G14" s="7">
        <f>_xlfn.STDEV.S(G9:G11)</f>
        <v>1.4572899897381737E-2</v>
      </c>
      <c r="H14" s="7">
        <f t="shared" ref="H14:I14" si="12">_xlfn.STDEV.S(H9:H11)</f>
        <v>5.2904078319206967E-2</v>
      </c>
      <c r="I14" s="7">
        <f t="shared" si="12"/>
        <v>7.2258740854933418E-2</v>
      </c>
      <c r="J14" s="23" t="str">
        <f t="shared" ca="1" si="10"/>
        <v>=DESVPAD.A(I9:I11)</v>
      </c>
    </row>
    <row r="17" spans="2:4" x14ac:dyDescent="0.3">
      <c r="B17" t="s">
        <v>38</v>
      </c>
      <c r="C17" t="s">
        <v>39</v>
      </c>
      <c r="D17" t="s">
        <v>40</v>
      </c>
    </row>
    <row r="18" spans="2:4" x14ac:dyDescent="0.3">
      <c r="B18" s="2">
        <v>10</v>
      </c>
    </row>
    <row r="19" spans="2:4" x14ac:dyDescent="0.3">
      <c r="B19" s="2">
        <v>11</v>
      </c>
      <c r="C19" s="7">
        <f>B19/B18-1</f>
        <v>0.10000000000000009</v>
      </c>
      <c r="D19" s="26">
        <f>LN(B19/B18)</f>
        <v>9.5310179804324935E-2</v>
      </c>
    </row>
    <row r="20" spans="2:4" x14ac:dyDescent="0.3">
      <c r="B20" s="2">
        <v>10</v>
      </c>
      <c r="C20" s="7">
        <f>B20/B19-1</f>
        <v>-9.0909090909090939E-2</v>
      </c>
      <c r="D20" s="26">
        <f>LN(B20/B19)</f>
        <v>-9.5310179804324893E-2</v>
      </c>
    </row>
    <row r="22" spans="2:4" x14ac:dyDescent="0.3">
      <c r="B22" t="s">
        <v>32</v>
      </c>
      <c r="C22" s="4">
        <f>AVERAGE(C19:C20)</f>
        <v>4.5454545454545747E-3</v>
      </c>
      <c r="D22" s="4">
        <f>AVERAGE(D19:D20)</f>
        <v>0</v>
      </c>
    </row>
  </sheetData>
  <mergeCells count="2">
    <mergeCell ref="A7:D7"/>
    <mergeCell ref="F7:I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81AE-BE85-D34E-862B-0153A5BC5C3F}">
  <dimension ref="A1:O118"/>
  <sheetViews>
    <sheetView workbookViewId="0">
      <selection activeCell="O2" sqref="O2"/>
    </sheetView>
  </sheetViews>
  <sheetFormatPr defaultColWidth="8.796875" defaultRowHeight="14.4" x14ac:dyDescent="0.3"/>
  <cols>
    <col min="1" max="16384" width="8.796875" style="17"/>
  </cols>
  <sheetData>
    <row r="1" spans="1:15" x14ac:dyDescent="0.3">
      <c r="A1" s="17" t="s">
        <v>16</v>
      </c>
      <c r="B1" s="17" t="s">
        <v>17</v>
      </c>
      <c r="D1" s="17" t="s">
        <v>16</v>
      </c>
      <c r="E1" s="17" t="s">
        <v>18</v>
      </c>
      <c r="G1" s="17" t="s">
        <v>16</v>
      </c>
      <c r="H1" s="17" t="s">
        <v>19</v>
      </c>
      <c r="J1" s="17" t="s">
        <v>16</v>
      </c>
      <c r="K1" s="17" t="s">
        <v>20</v>
      </c>
    </row>
    <row r="2" spans="1:15" x14ac:dyDescent="0.3">
      <c r="A2" s="18">
        <v>40179</v>
      </c>
      <c r="B2" s="17">
        <v>65401</v>
      </c>
      <c r="D2" s="18">
        <v>40179</v>
      </c>
      <c r="E2" s="17">
        <v>1.8748</v>
      </c>
      <c r="G2" s="18">
        <v>40179</v>
      </c>
      <c r="H2" s="17">
        <v>26.594684306000001</v>
      </c>
      <c r="J2" s="18">
        <v>40179</v>
      </c>
      <c r="K2" s="17">
        <v>32.93316136</v>
      </c>
      <c r="O2" s="17">
        <f>CORREL(C3:C118,F3:F118)</f>
        <v>-0.62705843660404414</v>
      </c>
    </row>
    <row r="3" spans="1:15" x14ac:dyDescent="0.3">
      <c r="A3" s="18">
        <v>40210</v>
      </c>
      <c r="B3" s="17">
        <v>66503</v>
      </c>
      <c r="C3" s="17">
        <f>LN(B3/B2)</f>
        <v>1.6709510560080517E-2</v>
      </c>
      <c r="D3" s="18">
        <v>40210</v>
      </c>
      <c r="E3" s="17">
        <v>1.8109999999999999</v>
      </c>
      <c r="F3" s="17">
        <f>LN(E3/E2)</f>
        <v>-3.4622808165137665E-2</v>
      </c>
      <c r="G3" s="18">
        <v>40210</v>
      </c>
      <c r="H3" s="17">
        <v>26.937138537999999</v>
      </c>
      <c r="I3" s="17">
        <f>LN(H3/H2)</f>
        <v>1.279459153395872E-2</v>
      </c>
      <c r="J3" s="18">
        <v>40210</v>
      </c>
      <c r="K3" s="17">
        <v>33.970108171</v>
      </c>
      <c r="L3" s="17">
        <f>LN(K3/K2)</f>
        <v>3.1000872267377404E-2</v>
      </c>
    </row>
    <row r="4" spans="1:15" x14ac:dyDescent="0.3">
      <c r="A4" s="18">
        <v>40238</v>
      </c>
      <c r="B4" s="17">
        <v>70371</v>
      </c>
      <c r="C4" s="17">
        <f t="shared" ref="C4:C67" si="0">LN(B4/B3)</f>
        <v>5.6534187052383902E-2</v>
      </c>
      <c r="D4" s="18">
        <v>40238</v>
      </c>
      <c r="E4" s="17">
        <v>1.7809999999999999</v>
      </c>
      <c r="F4" s="17">
        <f t="shared" ref="F4:F67" si="1">LN(E4/E3)</f>
        <v>-1.6704174593751786E-2</v>
      </c>
      <c r="G4" s="18">
        <v>40238</v>
      </c>
      <c r="H4" s="17">
        <v>27.544216494</v>
      </c>
      <c r="I4" s="17">
        <f t="shared" ref="I4:I67" si="2">LN(H4/H3)</f>
        <v>2.2286636707517789E-2</v>
      </c>
      <c r="J4" s="18">
        <v>40238</v>
      </c>
      <c r="K4" s="17">
        <v>38.481500138000001</v>
      </c>
      <c r="L4" s="17">
        <f t="shared" ref="L4:L67" si="3">LN(K4/K3)</f>
        <v>0.12469664343576754</v>
      </c>
    </row>
    <row r="5" spans="1:15" x14ac:dyDescent="0.3">
      <c r="A5" s="18">
        <v>40269</v>
      </c>
      <c r="B5" s="17">
        <v>67529</v>
      </c>
      <c r="C5" s="17">
        <f t="shared" si="0"/>
        <v>-4.1224111234866564E-2</v>
      </c>
      <c r="D5" s="18">
        <v>40269</v>
      </c>
      <c r="E5" s="17">
        <v>1.7305999999999999</v>
      </c>
      <c r="F5" s="17">
        <f t="shared" si="1"/>
        <v>-2.8706835117023211E-2</v>
      </c>
      <c r="G5" s="18">
        <v>40269</v>
      </c>
      <c r="H5" s="17">
        <v>25.720818743999999</v>
      </c>
      <c r="I5" s="17">
        <f t="shared" si="2"/>
        <v>-6.8491854105319938E-2</v>
      </c>
      <c r="J5" s="18">
        <v>40269</v>
      </c>
      <c r="K5" s="17">
        <v>36.008152516000003</v>
      </c>
      <c r="L5" s="17">
        <f t="shared" si="3"/>
        <v>-6.643223831690577E-2</v>
      </c>
    </row>
    <row r="6" spans="1:15" x14ac:dyDescent="0.3">
      <c r="A6" s="18">
        <v>40299</v>
      </c>
      <c r="B6" s="17">
        <v>63046</v>
      </c>
      <c r="C6" s="17">
        <f t="shared" si="0"/>
        <v>-6.8692516558238118E-2</v>
      </c>
      <c r="D6" s="18">
        <v>40299</v>
      </c>
      <c r="E6" s="17">
        <v>1.8167</v>
      </c>
      <c r="F6" s="17">
        <f t="shared" si="1"/>
        <v>4.8553499272061026E-2</v>
      </c>
      <c r="G6" s="18">
        <v>40299</v>
      </c>
      <c r="H6" s="17">
        <v>23.381021126</v>
      </c>
      <c r="I6" s="17">
        <f t="shared" si="2"/>
        <v>-9.5376101550550249E-2</v>
      </c>
      <c r="J6" s="18">
        <v>40299</v>
      </c>
      <c r="K6" s="17">
        <v>33.905981652999998</v>
      </c>
      <c r="L6" s="17">
        <f t="shared" si="3"/>
        <v>-6.0153922834021753E-2</v>
      </c>
    </row>
    <row r="7" spans="1:15" x14ac:dyDescent="0.3">
      <c r="A7" s="18">
        <v>40330</v>
      </c>
      <c r="B7" s="17">
        <v>60935</v>
      </c>
      <c r="C7" s="17">
        <f t="shared" si="0"/>
        <v>-3.4056896410026044E-2</v>
      </c>
      <c r="D7" s="18">
        <v>40330</v>
      </c>
      <c r="E7" s="17">
        <v>1.8015000000000001</v>
      </c>
      <c r="F7" s="17">
        <f t="shared" si="1"/>
        <v>-8.4020172565513768E-3</v>
      </c>
      <c r="G7" s="18">
        <v>40330</v>
      </c>
      <c r="H7" s="17">
        <v>21.216696873</v>
      </c>
      <c r="I7" s="17">
        <f t="shared" si="2"/>
        <v>-9.713617024059179E-2</v>
      </c>
      <c r="J7" s="18">
        <v>40330</v>
      </c>
      <c r="K7" s="17">
        <v>29.599921983000002</v>
      </c>
      <c r="L7" s="17">
        <f t="shared" si="3"/>
        <v>-0.13581972314486582</v>
      </c>
    </row>
    <row r="8" spans="1:15" x14ac:dyDescent="0.3">
      <c r="A8" s="18">
        <v>40360</v>
      </c>
      <c r="B8" s="17">
        <v>67515</v>
      </c>
      <c r="C8" s="17">
        <f t="shared" si="0"/>
        <v>0.10254207313753995</v>
      </c>
      <c r="D8" s="18">
        <v>40360</v>
      </c>
      <c r="E8" s="17">
        <v>1.7572000000000001</v>
      </c>
      <c r="F8" s="17">
        <f t="shared" si="1"/>
        <v>-2.4898018086523411E-2</v>
      </c>
      <c r="G8" s="18">
        <v>40360</v>
      </c>
      <c r="H8" s="17">
        <v>21.998697240999999</v>
      </c>
      <c r="I8" s="17">
        <f t="shared" si="2"/>
        <v>3.6194775244709362E-2</v>
      </c>
      <c r="J8" s="18">
        <v>40360</v>
      </c>
      <c r="K8" s="17">
        <v>32.922708184999998</v>
      </c>
      <c r="L8" s="17">
        <f t="shared" si="3"/>
        <v>0.10639091245214018</v>
      </c>
    </row>
    <row r="9" spans="1:15" x14ac:dyDescent="0.3">
      <c r="A9" s="18">
        <v>40391</v>
      </c>
      <c r="B9" s="17">
        <v>65145</v>
      </c>
      <c r="C9" s="17">
        <f t="shared" si="0"/>
        <v>-3.5734240758110797E-2</v>
      </c>
      <c r="D9" s="18">
        <v>40391</v>
      </c>
      <c r="E9" s="17">
        <v>1.756</v>
      </c>
      <c r="F9" s="17">
        <f t="shared" si="1"/>
        <v>-6.8313790656256178E-4</v>
      </c>
      <c r="G9" s="18">
        <v>40391</v>
      </c>
      <c r="H9" s="17">
        <v>20.733672697999999</v>
      </c>
      <c r="I9" s="17">
        <f t="shared" si="2"/>
        <v>-5.9224156272970431E-2</v>
      </c>
      <c r="J9" s="18">
        <v>40391</v>
      </c>
      <c r="K9" s="17">
        <v>31.790248397999999</v>
      </c>
      <c r="L9" s="17">
        <f t="shared" si="3"/>
        <v>-3.5003049462032733E-2</v>
      </c>
    </row>
    <row r="10" spans="1:15" x14ac:dyDescent="0.3">
      <c r="A10" s="18">
        <v>40422</v>
      </c>
      <c r="B10" s="17">
        <v>69429</v>
      </c>
      <c r="C10" s="17">
        <f t="shared" si="0"/>
        <v>6.3689093010739828E-2</v>
      </c>
      <c r="D10" s="18">
        <v>40422</v>
      </c>
      <c r="E10" s="17">
        <v>1.6941999999999999</v>
      </c>
      <c r="F10" s="17">
        <f t="shared" si="1"/>
        <v>-3.5827842197611419E-2</v>
      </c>
      <c r="G10" s="18">
        <v>40422</v>
      </c>
      <c r="H10" s="17">
        <v>21.712276589999998</v>
      </c>
      <c r="I10" s="17">
        <f t="shared" si="2"/>
        <v>4.6118763035883956E-2</v>
      </c>
      <c r="J10" s="18">
        <v>40422</v>
      </c>
      <c r="K10" s="17">
        <v>35.465656809000002</v>
      </c>
      <c r="L10" s="17">
        <f t="shared" si="3"/>
        <v>0.10940522579641826</v>
      </c>
    </row>
    <row r="11" spans="1:15" x14ac:dyDescent="0.3">
      <c r="A11" s="18">
        <v>40452</v>
      </c>
      <c r="B11" s="17">
        <v>70673</v>
      </c>
      <c r="C11" s="17">
        <f t="shared" si="0"/>
        <v>1.7758956963908428E-2</v>
      </c>
      <c r="D11" s="18">
        <v>40452</v>
      </c>
      <c r="E11" s="17">
        <v>1.7014</v>
      </c>
      <c r="F11" s="17">
        <f t="shared" si="1"/>
        <v>4.2407885443334729E-3</v>
      </c>
      <c r="G11" s="18">
        <v>40452</v>
      </c>
      <c r="H11" s="17">
        <v>20.566593985000001</v>
      </c>
      <c r="I11" s="17">
        <f t="shared" si="2"/>
        <v>-5.4209733767323284E-2</v>
      </c>
      <c r="J11" s="18">
        <v>40452</v>
      </c>
      <c r="K11" s="17">
        <v>36.726540513000003</v>
      </c>
      <c r="L11" s="17">
        <f t="shared" si="3"/>
        <v>3.4934854033209166E-2</v>
      </c>
    </row>
    <row r="12" spans="1:15" x14ac:dyDescent="0.3">
      <c r="A12" s="18">
        <v>40483</v>
      </c>
      <c r="B12" s="17">
        <v>67705</v>
      </c>
      <c r="C12" s="17">
        <f t="shared" si="0"/>
        <v>-4.2903572194755789E-2</v>
      </c>
      <c r="D12" s="18">
        <v>40483</v>
      </c>
      <c r="E12" s="17">
        <v>1.7161</v>
      </c>
      <c r="F12" s="17">
        <f t="shared" si="1"/>
        <v>8.602832866473363E-3</v>
      </c>
      <c r="G12" s="18">
        <v>40483</v>
      </c>
      <c r="H12" s="17">
        <v>19.668067703999998</v>
      </c>
      <c r="I12" s="17">
        <f t="shared" si="2"/>
        <v>-4.4671716395708862E-2</v>
      </c>
      <c r="J12" s="18">
        <v>40483</v>
      </c>
      <c r="K12" s="17">
        <v>36.699132646999999</v>
      </c>
      <c r="L12" s="17">
        <f t="shared" si="3"/>
        <v>-7.4654725230021606E-4</v>
      </c>
    </row>
    <row r="13" spans="1:15" x14ac:dyDescent="0.3">
      <c r="A13" s="18">
        <v>40513</v>
      </c>
      <c r="B13" s="17">
        <v>69304</v>
      </c>
      <c r="C13" s="17">
        <f t="shared" si="0"/>
        <v>2.3342592153051844E-2</v>
      </c>
      <c r="D13" s="18">
        <v>40513</v>
      </c>
      <c r="E13" s="17">
        <v>1.6661999999999999</v>
      </c>
      <c r="F13" s="17">
        <f t="shared" si="1"/>
        <v>-2.9508689867448559E-2</v>
      </c>
      <c r="G13" s="18">
        <v>40513</v>
      </c>
      <c r="H13" s="17">
        <v>21.998364413000001</v>
      </c>
      <c r="I13" s="17">
        <f t="shared" si="2"/>
        <v>0.11197171384430307</v>
      </c>
      <c r="J13" s="18">
        <v>40513</v>
      </c>
      <c r="K13" s="17">
        <v>37.911930720000001</v>
      </c>
      <c r="L13" s="17">
        <f t="shared" si="3"/>
        <v>3.2512736089356294E-2</v>
      </c>
    </row>
    <row r="14" spans="1:15" x14ac:dyDescent="0.3">
      <c r="A14" s="18">
        <v>40544</v>
      </c>
      <c r="B14" s="17">
        <v>66574</v>
      </c>
      <c r="C14" s="17">
        <f t="shared" si="0"/>
        <v>-4.0188513654052772E-2</v>
      </c>
      <c r="D14" s="18">
        <v>40544</v>
      </c>
      <c r="E14" s="17">
        <v>1.6734</v>
      </c>
      <c r="F14" s="17">
        <f t="shared" si="1"/>
        <v>4.3119003206893679E-3</v>
      </c>
      <c r="G14" s="18">
        <v>40544</v>
      </c>
      <c r="H14" s="17">
        <v>21.837145179</v>
      </c>
      <c r="I14" s="17">
        <f t="shared" si="2"/>
        <v>-7.3556786454940758E-3</v>
      </c>
      <c r="J14" s="18">
        <v>40544</v>
      </c>
      <c r="K14" s="17">
        <v>39.320907771999998</v>
      </c>
      <c r="L14" s="17">
        <f t="shared" si="3"/>
        <v>3.6490524513775449E-2</v>
      </c>
    </row>
    <row r="15" spans="1:15" x14ac:dyDescent="0.3">
      <c r="A15" s="18">
        <v>40575</v>
      </c>
      <c r="B15" s="17">
        <v>67383</v>
      </c>
      <c r="C15" s="17">
        <f t="shared" si="0"/>
        <v>1.2078649650981212E-2</v>
      </c>
      <c r="D15" s="18">
        <v>40575</v>
      </c>
      <c r="E15" s="17">
        <v>1.6612</v>
      </c>
      <c r="F15" s="17">
        <f t="shared" si="1"/>
        <v>-7.3172521048998126E-3</v>
      </c>
      <c r="G15" s="18">
        <v>40575</v>
      </c>
      <c r="H15" s="17">
        <v>23.038228469</v>
      </c>
      <c r="I15" s="17">
        <f t="shared" si="2"/>
        <v>5.3542516419763084E-2</v>
      </c>
      <c r="J15" s="18">
        <v>40575</v>
      </c>
      <c r="K15" s="17">
        <v>38.783586327000002</v>
      </c>
      <c r="L15" s="17">
        <f t="shared" si="3"/>
        <v>-1.375925747132052E-2</v>
      </c>
    </row>
    <row r="16" spans="1:15" x14ac:dyDescent="0.3">
      <c r="A16" s="18">
        <v>40603</v>
      </c>
      <c r="B16" s="17">
        <v>68586</v>
      </c>
      <c r="C16" s="17">
        <f t="shared" si="0"/>
        <v>1.7695671686928753E-2</v>
      </c>
      <c r="D16" s="18">
        <v>40603</v>
      </c>
      <c r="E16" s="17">
        <v>1.6287</v>
      </c>
      <c r="F16" s="17">
        <f t="shared" si="1"/>
        <v>-1.9758082177083389E-2</v>
      </c>
      <c r="G16" s="18">
        <v>40603</v>
      </c>
      <c r="H16" s="17">
        <v>23.107252845000001</v>
      </c>
      <c r="I16" s="17">
        <f t="shared" si="2"/>
        <v>2.991600716400446E-3</v>
      </c>
      <c r="J16" s="18">
        <v>40603</v>
      </c>
      <c r="K16" s="17">
        <v>36.751409068000001</v>
      </c>
      <c r="L16" s="17">
        <f t="shared" si="3"/>
        <v>-5.3820557406122578E-2</v>
      </c>
    </row>
    <row r="17" spans="1:12" x14ac:dyDescent="0.3">
      <c r="A17" s="18">
        <v>40634</v>
      </c>
      <c r="B17" s="17">
        <v>66132</v>
      </c>
      <c r="C17" s="17">
        <f t="shared" si="0"/>
        <v>-3.6435687582597735E-2</v>
      </c>
      <c r="D17" s="18">
        <v>40634</v>
      </c>
      <c r="E17" s="17">
        <v>1.5732999999999999</v>
      </c>
      <c r="F17" s="17">
        <f t="shared" si="1"/>
        <v>-3.4606826333137594E-2</v>
      </c>
      <c r="G17" s="18">
        <v>40634</v>
      </c>
      <c r="H17" s="17">
        <v>20.850461802000002</v>
      </c>
      <c r="I17" s="17">
        <f t="shared" si="2"/>
        <v>-0.1027704474451243</v>
      </c>
      <c r="J17" s="18">
        <v>40634</v>
      </c>
      <c r="K17" s="17">
        <v>36.105271641000002</v>
      </c>
      <c r="L17" s="17">
        <f t="shared" si="3"/>
        <v>-1.773768339597738E-2</v>
      </c>
    </row>
    <row r="18" spans="1:12" x14ac:dyDescent="0.3">
      <c r="A18" s="18">
        <v>40664</v>
      </c>
      <c r="B18" s="17">
        <v>64620</v>
      </c>
      <c r="C18" s="17">
        <f t="shared" si="0"/>
        <v>-2.3128784292746382E-2</v>
      </c>
      <c r="D18" s="18">
        <v>40664</v>
      </c>
      <c r="E18" s="17">
        <v>1.5799000000000001</v>
      </c>
      <c r="F18" s="17">
        <f t="shared" si="1"/>
        <v>4.1862296324258301E-3</v>
      </c>
      <c r="G18" s="18">
        <v>40664</v>
      </c>
      <c r="H18" s="17">
        <v>19.785420174999999</v>
      </c>
      <c r="I18" s="17">
        <f t="shared" si="2"/>
        <v>-5.243078511635494E-2</v>
      </c>
      <c r="J18" s="18">
        <v>40664</v>
      </c>
      <c r="K18" s="17">
        <v>35.031664413000001</v>
      </c>
      <c r="L18" s="17">
        <f t="shared" si="3"/>
        <v>-3.0186533502666958E-2</v>
      </c>
    </row>
    <row r="19" spans="1:12" x14ac:dyDescent="0.3">
      <c r="A19" s="18">
        <v>40695</v>
      </c>
      <c r="B19" s="17">
        <v>62403</v>
      </c>
      <c r="C19" s="17">
        <f t="shared" si="0"/>
        <v>-3.4910609253551564E-2</v>
      </c>
      <c r="D19" s="18">
        <v>40695</v>
      </c>
      <c r="E19" s="17">
        <v>1.5610999999999999</v>
      </c>
      <c r="F19" s="17">
        <f t="shared" si="1"/>
        <v>-1.1970852916182441E-2</v>
      </c>
      <c r="G19" s="18">
        <v>40695</v>
      </c>
      <c r="H19" s="17">
        <v>19.481534519</v>
      </c>
      <c r="I19" s="17">
        <f t="shared" si="2"/>
        <v>-1.5478242472303737E-2</v>
      </c>
      <c r="J19" s="18">
        <v>40695</v>
      </c>
      <c r="K19" s="17">
        <v>34.501832274999998</v>
      </c>
      <c r="L19" s="17">
        <f t="shared" si="3"/>
        <v>-1.5239917964212219E-2</v>
      </c>
    </row>
    <row r="20" spans="1:12" x14ac:dyDescent="0.3">
      <c r="A20" s="18">
        <v>40725</v>
      </c>
      <c r="B20" s="17">
        <v>58823</v>
      </c>
      <c r="C20" s="17">
        <f t="shared" si="0"/>
        <v>-5.9080416257379906E-2</v>
      </c>
      <c r="D20" s="18">
        <v>40725</v>
      </c>
      <c r="E20" s="17">
        <v>1.5563</v>
      </c>
      <c r="F20" s="17">
        <f t="shared" si="1"/>
        <v>-3.0794917516565202E-3</v>
      </c>
      <c r="G20" s="18">
        <v>40725</v>
      </c>
      <c r="H20" s="17">
        <v>19.300845750000001</v>
      </c>
      <c r="I20" s="17">
        <f t="shared" si="2"/>
        <v>-9.3181529936092501E-3</v>
      </c>
      <c r="J20" s="18">
        <v>40725</v>
      </c>
      <c r="K20" s="17">
        <v>34.982864085000003</v>
      </c>
      <c r="L20" s="17">
        <f t="shared" si="3"/>
        <v>1.3845911978611609E-2</v>
      </c>
    </row>
    <row r="21" spans="1:12" x14ac:dyDescent="0.3">
      <c r="A21" s="18">
        <v>40756</v>
      </c>
      <c r="B21" s="17">
        <v>56495</v>
      </c>
      <c r="C21" s="17">
        <f t="shared" si="0"/>
        <v>-4.0380796224211146E-2</v>
      </c>
      <c r="D21" s="18">
        <v>40756</v>
      </c>
      <c r="E21" s="17">
        <v>1.5871999999999999</v>
      </c>
      <c r="F21" s="17">
        <f t="shared" si="1"/>
        <v>1.9660248319643948E-2</v>
      </c>
      <c r="G21" s="18">
        <v>40756</v>
      </c>
      <c r="H21" s="17">
        <v>17.232046234999999</v>
      </c>
      <c r="I21" s="17">
        <f t="shared" si="2"/>
        <v>-0.11337811269420665</v>
      </c>
      <c r="J21" s="18">
        <v>40756</v>
      </c>
      <c r="K21" s="17">
        <v>31.913869465000001</v>
      </c>
      <c r="L21" s="17">
        <f t="shared" si="3"/>
        <v>-9.1817649257282058E-2</v>
      </c>
    </row>
    <row r="22" spans="1:12" x14ac:dyDescent="0.3">
      <c r="A22" s="18">
        <v>40787</v>
      </c>
      <c r="B22" s="17">
        <v>52324</v>
      </c>
      <c r="C22" s="17">
        <f t="shared" si="0"/>
        <v>-7.6696981835228939E-2</v>
      </c>
      <c r="D22" s="18">
        <v>40787</v>
      </c>
      <c r="E22" s="17">
        <v>1.8544</v>
      </c>
      <c r="F22" s="17">
        <f t="shared" si="1"/>
        <v>0.155589736054879</v>
      </c>
      <c r="G22" s="18">
        <v>40787</v>
      </c>
      <c r="H22" s="17">
        <v>15.823657839999999</v>
      </c>
      <c r="I22" s="17">
        <f t="shared" si="2"/>
        <v>-8.5264651704819963E-2</v>
      </c>
      <c r="J22" s="18">
        <v>40787</v>
      </c>
      <c r="K22" s="17">
        <v>30.382288676000002</v>
      </c>
      <c r="L22" s="17">
        <f t="shared" si="3"/>
        <v>-4.9180865481377838E-2</v>
      </c>
    </row>
    <row r="23" spans="1:12" x14ac:dyDescent="0.3">
      <c r="A23" s="18">
        <v>40817</v>
      </c>
      <c r="B23" s="17">
        <v>58338</v>
      </c>
      <c r="C23" s="17">
        <f t="shared" si="0"/>
        <v>0.10879852522959434</v>
      </c>
      <c r="D23" s="18">
        <v>40817</v>
      </c>
      <c r="E23" s="17">
        <v>1.6884999999999999</v>
      </c>
      <c r="F23" s="17">
        <f t="shared" si="1"/>
        <v>-9.3720632759864905E-2</v>
      </c>
      <c r="G23" s="18">
        <v>40817</v>
      </c>
      <c r="H23" s="17">
        <v>17.662847391</v>
      </c>
      <c r="I23" s="17">
        <f t="shared" si="2"/>
        <v>0.10995726430226853</v>
      </c>
      <c r="J23" s="18">
        <v>40817</v>
      </c>
      <c r="K23" s="17">
        <v>31.878717930000001</v>
      </c>
      <c r="L23" s="17">
        <f t="shared" si="3"/>
        <v>4.8078808330440828E-2</v>
      </c>
    </row>
    <row r="24" spans="1:12" x14ac:dyDescent="0.3">
      <c r="A24" s="18">
        <v>40848</v>
      </c>
      <c r="B24" s="17">
        <v>56874</v>
      </c>
      <c r="C24" s="17">
        <f t="shared" si="0"/>
        <v>-2.5415387356615433E-2</v>
      </c>
      <c r="D24" s="18">
        <v>40848</v>
      </c>
      <c r="E24" s="17">
        <v>1.8109</v>
      </c>
      <c r="F24" s="17">
        <f t="shared" si="1"/>
        <v>6.9983398421674503E-2</v>
      </c>
      <c r="G24" s="18">
        <v>40848</v>
      </c>
      <c r="H24" s="17">
        <v>18.43552691</v>
      </c>
      <c r="I24" s="17">
        <f t="shared" si="2"/>
        <v>4.2816197225189541E-2</v>
      </c>
      <c r="J24" s="18">
        <v>40848</v>
      </c>
      <c r="K24" s="17">
        <v>30.376312098</v>
      </c>
      <c r="L24" s="17">
        <f t="shared" si="3"/>
        <v>-4.827554024800134E-2</v>
      </c>
    </row>
    <row r="25" spans="1:12" x14ac:dyDescent="0.3">
      <c r="A25" s="18">
        <v>40878</v>
      </c>
      <c r="B25" s="17">
        <v>56754</v>
      </c>
      <c r="C25" s="17">
        <f t="shared" si="0"/>
        <v>-2.1121562398711091E-3</v>
      </c>
      <c r="D25" s="18">
        <v>40878</v>
      </c>
      <c r="E25" s="17">
        <v>1.8757999999999999</v>
      </c>
      <c r="F25" s="17">
        <f t="shared" si="1"/>
        <v>3.521127582754139E-2</v>
      </c>
      <c r="G25" s="18">
        <v>40878</v>
      </c>
      <c r="H25" s="17">
        <v>17.967323052000001</v>
      </c>
      <c r="I25" s="17">
        <f t="shared" si="2"/>
        <v>-2.572489123666899E-2</v>
      </c>
      <c r="J25" s="18">
        <v>40878</v>
      </c>
      <c r="K25" s="17">
        <v>28.771801014000001</v>
      </c>
      <c r="L25" s="17">
        <f t="shared" si="3"/>
        <v>-5.4267321348506377E-2</v>
      </c>
    </row>
    <row r="26" spans="1:12" x14ac:dyDescent="0.3">
      <c r="A26" s="18">
        <v>40909</v>
      </c>
      <c r="B26" s="17">
        <v>63072</v>
      </c>
      <c r="C26" s="17">
        <f t="shared" si="0"/>
        <v>0.10555079251122118</v>
      </c>
      <c r="D26" s="18">
        <v>40909</v>
      </c>
      <c r="E26" s="17">
        <v>1.7391000000000001</v>
      </c>
      <c r="F26" s="17">
        <f t="shared" si="1"/>
        <v>-7.5667497061041103E-2</v>
      </c>
      <c r="G26" s="18">
        <v>40909</v>
      </c>
      <c r="H26" s="17">
        <v>20.733270507</v>
      </c>
      <c r="I26" s="17">
        <f t="shared" si="2"/>
        <v>0.14318495877742668</v>
      </c>
      <c r="J26" s="18">
        <v>40909</v>
      </c>
      <c r="K26" s="17">
        <v>32.600747917</v>
      </c>
      <c r="L26" s="17">
        <f t="shared" si="3"/>
        <v>0.12493945432752322</v>
      </c>
    </row>
    <row r="27" spans="1:12" x14ac:dyDescent="0.3">
      <c r="A27" s="18">
        <v>40940</v>
      </c>
      <c r="B27" s="17">
        <v>65811</v>
      </c>
      <c r="C27" s="17">
        <f t="shared" si="0"/>
        <v>4.2510066641350444E-2</v>
      </c>
      <c r="D27" s="18">
        <v>40940</v>
      </c>
      <c r="E27" s="17">
        <v>1.7092000000000001</v>
      </c>
      <c r="F27" s="17">
        <f t="shared" si="1"/>
        <v>-1.7342313243927012E-2</v>
      </c>
      <c r="G27" s="18">
        <v>40940</v>
      </c>
      <c r="H27" s="17">
        <v>20.513870819000001</v>
      </c>
      <c r="I27" s="17">
        <f t="shared" si="2"/>
        <v>-1.0638398209698318E-2</v>
      </c>
      <c r="J27" s="18">
        <v>40940</v>
      </c>
      <c r="K27" s="17">
        <v>31.762026214999999</v>
      </c>
      <c r="L27" s="17">
        <f t="shared" si="3"/>
        <v>-2.606379830329714E-2</v>
      </c>
    </row>
    <row r="28" spans="1:12" x14ac:dyDescent="0.3">
      <c r="A28" s="18">
        <v>40969</v>
      </c>
      <c r="B28" s="17">
        <v>64510</v>
      </c>
      <c r="C28" s="17">
        <f t="shared" si="0"/>
        <v>-1.9966747067509831E-2</v>
      </c>
      <c r="D28" s="18">
        <v>40969</v>
      </c>
      <c r="E28" s="17">
        <v>1.8221000000000001</v>
      </c>
      <c r="F28" s="17">
        <f t="shared" si="1"/>
        <v>6.3964257285963055E-2</v>
      </c>
      <c r="G28" s="18">
        <v>40969</v>
      </c>
      <c r="H28" s="17">
        <v>19.802891073000001</v>
      </c>
      <c r="I28" s="17">
        <f t="shared" si="2"/>
        <v>-3.5273341824338535E-2</v>
      </c>
      <c r="J28" s="18">
        <v>40969</v>
      </c>
      <c r="K28" s="17">
        <v>31.287966122</v>
      </c>
      <c r="L28" s="17">
        <f t="shared" si="3"/>
        <v>-1.5037877372173018E-2</v>
      </c>
    </row>
    <row r="29" spans="1:12" x14ac:dyDescent="0.3">
      <c r="A29" s="18">
        <v>41000</v>
      </c>
      <c r="B29" s="17">
        <v>61820</v>
      </c>
      <c r="C29" s="17">
        <f t="shared" si="0"/>
        <v>-4.2593313840180037E-2</v>
      </c>
      <c r="D29" s="18">
        <v>41000</v>
      </c>
      <c r="E29" s="17">
        <v>1.8917999999999999</v>
      </c>
      <c r="F29" s="17">
        <f t="shared" si="1"/>
        <v>3.7539074723237052E-2</v>
      </c>
      <c r="G29" s="18">
        <v>41000</v>
      </c>
      <c r="H29" s="17">
        <v>18.055826592999999</v>
      </c>
      <c r="I29" s="17">
        <f t="shared" si="2"/>
        <v>-9.2359505203873205E-2</v>
      </c>
      <c r="J29" s="18">
        <v>41000</v>
      </c>
      <c r="K29" s="17">
        <v>31.851103968</v>
      </c>
      <c r="L29" s="17">
        <f t="shared" si="3"/>
        <v>1.783848821985801E-2</v>
      </c>
    </row>
    <row r="30" spans="1:12" x14ac:dyDescent="0.3">
      <c r="A30" s="18">
        <v>41030</v>
      </c>
      <c r="B30" s="17">
        <v>54490</v>
      </c>
      <c r="C30" s="17">
        <f t="shared" si="0"/>
        <v>-0.12620973810896333</v>
      </c>
      <c r="D30" s="18">
        <v>41030</v>
      </c>
      <c r="E30" s="17">
        <v>2.0223</v>
      </c>
      <c r="F30" s="17">
        <f t="shared" si="1"/>
        <v>6.6706720748432674E-2</v>
      </c>
      <c r="G30" s="18">
        <v>41030</v>
      </c>
      <c r="H30" s="17">
        <v>16.391816098</v>
      </c>
      <c r="I30" s="17">
        <f t="shared" si="2"/>
        <v>-9.6686243761127347E-2</v>
      </c>
      <c r="J30" s="18">
        <v>41030</v>
      </c>
      <c r="K30" s="17">
        <v>28.105234699</v>
      </c>
      <c r="L30" s="17">
        <f t="shared" si="3"/>
        <v>-0.12511619568229976</v>
      </c>
    </row>
    <row r="31" spans="1:12" x14ac:dyDescent="0.3">
      <c r="A31" s="18">
        <v>41061</v>
      </c>
      <c r="B31" s="17">
        <v>54354</v>
      </c>
      <c r="C31" s="17">
        <f t="shared" si="0"/>
        <v>-2.4989906798012097E-3</v>
      </c>
      <c r="D31" s="18">
        <v>41061</v>
      </c>
      <c r="E31" s="17">
        <v>2.0213000000000001</v>
      </c>
      <c r="F31" s="17">
        <f t="shared" si="1"/>
        <v>-4.9460877455061842E-4</v>
      </c>
      <c r="G31" s="18">
        <v>41061</v>
      </c>
      <c r="H31" s="17">
        <v>15.637775419</v>
      </c>
      <c r="I31" s="17">
        <f t="shared" si="2"/>
        <v>-4.7092703500645594E-2</v>
      </c>
      <c r="J31" s="18">
        <v>41061</v>
      </c>
      <c r="K31" s="17">
        <v>30.004338081</v>
      </c>
      <c r="L31" s="17">
        <f t="shared" si="3"/>
        <v>6.5386126697348043E-2</v>
      </c>
    </row>
    <row r="32" spans="1:12" x14ac:dyDescent="0.3">
      <c r="A32" s="18">
        <v>41091</v>
      </c>
      <c r="B32" s="17">
        <v>56097</v>
      </c>
      <c r="C32" s="17">
        <f t="shared" si="0"/>
        <v>3.15641272477271E-2</v>
      </c>
      <c r="D32" s="18">
        <v>41091</v>
      </c>
      <c r="E32" s="17">
        <v>2.0499000000000001</v>
      </c>
      <c r="F32" s="17">
        <f t="shared" si="1"/>
        <v>1.4050142701890034E-2</v>
      </c>
      <c r="G32" s="18">
        <v>41091</v>
      </c>
      <c r="H32" s="17">
        <v>16.708855927999998</v>
      </c>
      <c r="I32" s="17">
        <f t="shared" si="2"/>
        <v>6.6249385592030807E-2</v>
      </c>
      <c r="J32" s="18">
        <v>41091</v>
      </c>
      <c r="K32" s="17">
        <v>27.776256159999999</v>
      </c>
      <c r="L32" s="17">
        <f t="shared" si="3"/>
        <v>-7.716041312254833E-2</v>
      </c>
    </row>
    <row r="33" spans="1:12" x14ac:dyDescent="0.3">
      <c r="A33" s="18">
        <v>41122</v>
      </c>
      <c r="B33" s="17">
        <v>57061</v>
      </c>
      <c r="C33" s="17">
        <f t="shared" si="0"/>
        <v>1.7038535880699941E-2</v>
      </c>
      <c r="D33" s="18">
        <v>41122</v>
      </c>
      <c r="E33" s="17">
        <v>2.0371999999999999</v>
      </c>
      <c r="F33" s="17">
        <f t="shared" si="1"/>
        <v>-6.2146954443927649E-3</v>
      </c>
      <c r="G33" s="18">
        <v>41122</v>
      </c>
      <c r="H33" s="17">
        <v>17.779936436</v>
      </c>
      <c r="I33" s="17">
        <f t="shared" si="2"/>
        <v>6.2131781095469116E-2</v>
      </c>
      <c r="J33" s="18">
        <v>41122</v>
      </c>
      <c r="K33" s="17">
        <v>25.256579626000001</v>
      </c>
      <c r="L33" s="17">
        <f t="shared" si="3"/>
        <v>-9.5094859761626141E-2</v>
      </c>
    </row>
    <row r="34" spans="1:12" x14ac:dyDescent="0.3">
      <c r="A34" s="18">
        <v>41153</v>
      </c>
      <c r="B34" s="17">
        <v>59175</v>
      </c>
      <c r="C34" s="17">
        <f t="shared" si="0"/>
        <v>3.6378284356414686E-2</v>
      </c>
      <c r="D34" s="18">
        <v>41153</v>
      </c>
      <c r="E34" s="17">
        <v>2.0306000000000002</v>
      </c>
      <c r="F34" s="17">
        <f t="shared" si="1"/>
        <v>-3.2450001433270781E-3</v>
      </c>
      <c r="G34" s="18">
        <v>41153</v>
      </c>
      <c r="H34" s="17">
        <v>19.168056775</v>
      </c>
      <c r="I34" s="17">
        <f t="shared" si="2"/>
        <v>7.5174528845268762E-2</v>
      </c>
      <c r="J34" s="18">
        <v>41153</v>
      </c>
      <c r="K34" s="17">
        <v>27.282788352000001</v>
      </c>
      <c r="L34" s="17">
        <f t="shared" si="3"/>
        <v>7.7169339044635674E-2</v>
      </c>
    </row>
    <row r="35" spans="1:12" x14ac:dyDescent="0.3">
      <c r="A35" s="18">
        <v>41183</v>
      </c>
      <c r="B35" s="17">
        <v>57068</v>
      </c>
      <c r="C35" s="17">
        <f t="shared" si="0"/>
        <v>-3.6255616147479588E-2</v>
      </c>
      <c r="D35" s="18">
        <v>41183</v>
      </c>
      <c r="E35" s="17">
        <v>2.0312999999999999</v>
      </c>
      <c r="F35" s="17">
        <f t="shared" si="1"/>
        <v>3.4466629258699162E-4</v>
      </c>
      <c r="G35" s="18">
        <v>41183</v>
      </c>
      <c r="H35" s="17">
        <v>17.822779657000002</v>
      </c>
      <c r="I35" s="17">
        <f t="shared" si="2"/>
        <v>-7.2767788776982825E-2</v>
      </c>
      <c r="J35" s="18">
        <v>41183</v>
      </c>
      <c r="K35" s="17">
        <v>28.900348210000001</v>
      </c>
      <c r="L35" s="17">
        <f t="shared" si="3"/>
        <v>5.7597603766073813E-2</v>
      </c>
    </row>
    <row r="36" spans="1:12" x14ac:dyDescent="0.3">
      <c r="A36" s="18">
        <v>41214</v>
      </c>
      <c r="B36" s="17">
        <v>57474</v>
      </c>
      <c r="C36" s="17">
        <f t="shared" si="0"/>
        <v>7.0891323762416287E-3</v>
      </c>
      <c r="D36" s="18">
        <v>41214</v>
      </c>
      <c r="E36" s="17">
        <v>2.1074000000000002</v>
      </c>
      <c r="F36" s="17">
        <f t="shared" si="1"/>
        <v>3.6778978005718013E-2</v>
      </c>
      <c r="G36" s="18">
        <v>41214</v>
      </c>
      <c r="H36" s="17">
        <v>15.989089826000001</v>
      </c>
      <c r="I36" s="17">
        <f t="shared" si="2"/>
        <v>-0.10857079134466358</v>
      </c>
      <c r="J36" s="18">
        <v>41214</v>
      </c>
      <c r="K36" s="17">
        <v>29.016103944000001</v>
      </c>
      <c r="L36" s="17">
        <f t="shared" si="3"/>
        <v>3.9973404388780817E-3</v>
      </c>
    </row>
    <row r="37" spans="1:12" x14ac:dyDescent="0.3">
      <c r="A37" s="18">
        <v>41244</v>
      </c>
      <c r="B37" s="17">
        <v>60952</v>
      </c>
      <c r="C37" s="17">
        <f t="shared" si="0"/>
        <v>5.8753997541898972E-2</v>
      </c>
      <c r="D37" s="18">
        <v>41244</v>
      </c>
      <c r="E37" s="17">
        <v>2.0434999999999999</v>
      </c>
      <c r="F37" s="17">
        <f t="shared" si="1"/>
        <v>-3.0790936161095416E-2</v>
      </c>
      <c r="G37" s="18">
        <v>41244</v>
      </c>
      <c r="H37" s="17">
        <v>16.725993215999999</v>
      </c>
      <c r="I37" s="17">
        <f t="shared" si="2"/>
        <v>4.5057385588304938E-2</v>
      </c>
      <c r="J37" s="18">
        <v>41244</v>
      </c>
      <c r="K37" s="17">
        <v>32.627682839000002</v>
      </c>
      <c r="L37" s="17">
        <f t="shared" si="3"/>
        <v>0.11731011060136246</v>
      </c>
    </row>
    <row r="38" spans="1:12" x14ac:dyDescent="0.3">
      <c r="A38" s="18">
        <v>41275</v>
      </c>
      <c r="B38" s="17">
        <v>59761</v>
      </c>
      <c r="C38" s="17">
        <f t="shared" si="0"/>
        <v>-1.9733394885080809E-2</v>
      </c>
      <c r="D38" s="18">
        <v>41275</v>
      </c>
      <c r="E38" s="17">
        <v>1.9883</v>
      </c>
      <c r="F38" s="17">
        <f t="shared" si="1"/>
        <v>-2.7384021740296471E-2</v>
      </c>
      <c r="G38" s="18">
        <v>41275</v>
      </c>
      <c r="H38" s="17">
        <v>15.49210847</v>
      </c>
      <c r="I38" s="17">
        <f t="shared" si="2"/>
        <v>-7.6633226056894099E-2</v>
      </c>
      <c r="J38" s="18">
        <v>41275</v>
      </c>
      <c r="K38" s="17">
        <v>31.068838957000001</v>
      </c>
      <c r="L38" s="17">
        <f t="shared" si="3"/>
        <v>-4.8955740787483493E-2</v>
      </c>
    </row>
    <row r="39" spans="1:12" x14ac:dyDescent="0.3">
      <c r="A39" s="18">
        <v>41306</v>
      </c>
      <c r="B39" s="17">
        <v>57424</v>
      </c>
      <c r="C39" s="17">
        <f t="shared" si="0"/>
        <v>-3.9890939880376175E-2</v>
      </c>
      <c r="D39" s="18">
        <v>41306</v>
      </c>
      <c r="E39" s="17">
        <v>1.9754</v>
      </c>
      <c r="F39" s="17">
        <f t="shared" si="1"/>
        <v>-6.5090927900084694E-3</v>
      </c>
      <c r="G39" s="18">
        <v>41306</v>
      </c>
      <c r="H39" s="17">
        <v>14.232517793</v>
      </c>
      <c r="I39" s="17">
        <f t="shared" si="2"/>
        <v>-8.4801431297089641E-2</v>
      </c>
      <c r="J39" s="18">
        <v>41306</v>
      </c>
      <c r="K39" s="17">
        <v>29.170444922000001</v>
      </c>
      <c r="L39" s="17">
        <f t="shared" si="3"/>
        <v>-6.3049317598773705E-2</v>
      </c>
    </row>
    <row r="40" spans="1:12" x14ac:dyDescent="0.3">
      <c r="A40" s="18">
        <v>41334</v>
      </c>
      <c r="B40" s="17">
        <v>56352</v>
      </c>
      <c r="C40" s="17">
        <f t="shared" si="0"/>
        <v>-1.8844602091455772E-2</v>
      </c>
      <c r="D40" s="18">
        <v>41334</v>
      </c>
      <c r="E40" s="17">
        <v>2.0137999999999998</v>
      </c>
      <c r="F40" s="17">
        <f t="shared" si="1"/>
        <v>1.9252575007487435E-2</v>
      </c>
      <c r="G40" s="18">
        <v>41334</v>
      </c>
      <c r="H40" s="17">
        <v>15.72346186</v>
      </c>
      <c r="I40" s="17">
        <f t="shared" si="2"/>
        <v>9.9624650848764484E-2</v>
      </c>
      <c r="J40" s="18">
        <v>41334</v>
      </c>
      <c r="K40" s="17">
        <v>26.932500735000001</v>
      </c>
      <c r="L40" s="17">
        <f t="shared" si="3"/>
        <v>-7.9822273412052669E-2</v>
      </c>
    </row>
    <row r="41" spans="1:12" x14ac:dyDescent="0.3">
      <c r="A41" s="18">
        <v>41365</v>
      </c>
      <c r="B41" s="17">
        <v>55910</v>
      </c>
      <c r="C41" s="17">
        <f t="shared" si="0"/>
        <v>-7.8744772752417352E-3</v>
      </c>
      <c r="D41" s="18">
        <v>41365</v>
      </c>
      <c r="E41" s="17">
        <v>2.0017</v>
      </c>
      <c r="F41" s="17">
        <f t="shared" si="1"/>
        <v>-6.0266649848541142E-3</v>
      </c>
      <c r="G41" s="18">
        <v>41365</v>
      </c>
      <c r="H41" s="17">
        <v>17.897848693</v>
      </c>
      <c r="I41" s="17">
        <f t="shared" si="2"/>
        <v>0.12952653801738598</v>
      </c>
      <c r="J41" s="18">
        <v>41365</v>
      </c>
      <c r="K41" s="17">
        <v>27.137149474000001</v>
      </c>
      <c r="L41" s="17">
        <f t="shared" si="3"/>
        <v>7.5698553791996512E-3</v>
      </c>
    </row>
    <row r="42" spans="1:12" x14ac:dyDescent="0.3">
      <c r="A42" s="18">
        <v>41395</v>
      </c>
      <c r="B42" s="17">
        <v>53506</v>
      </c>
      <c r="C42" s="17">
        <f t="shared" si="0"/>
        <v>-4.394945789217148E-2</v>
      </c>
      <c r="D42" s="18">
        <v>41395</v>
      </c>
      <c r="E42" s="17">
        <v>2.1318999999999999</v>
      </c>
      <c r="F42" s="17">
        <f t="shared" si="1"/>
        <v>6.3016781373836012E-2</v>
      </c>
      <c r="G42" s="18">
        <v>41395</v>
      </c>
      <c r="H42" s="17">
        <v>17.862213354000001</v>
      </c>
      <c r="I42" s="17">
        <f t="shared" si="2"/>
        <v>-1.9930251099062519E-3</v>
      </c>
      <c r="J42" s="18">
        <v>41395</v>
      </c>
      <c r="K42" s="17">
        <v>24.126312452000001</v>
      </c>
      <c r="L42" s="17">
        <f t="shared" si="3"/>
        <v>-0.11760057055511168</v>
      </c>
    </row>
    <row r="43" spans="1:12" x14ac:dyDescent="0.3">
      <c r="A43" s="18">
        <v>41426</v>
      </c>
      <c r="B43" s="17">
        <v>47457</v>
      </c>
      <c r="C43" s="17">
        <f t="shared" si="0"/>
        <v>-0.11996975926183032</v>
      </c>
      <c r="D43" s="18">
        <v>41426</v>
      </c>
      <c r="E43" s="17">
        <v>2.2155999999999998</v>
      </c>
      <c r="F43" s="17">
        <f t="shared" si="1"/>
        <v>3.8509646288452493E-2</v>
      </c>
      <c r="G43" s="18">
        <v>41426</v>
      </c>
      <c r="H43" s="17">
        <v>14.414494367</v>
      </c>
      <c r="I43" s="17">
        <f t="shared" si="2"/>
        <v>-0.21445324215465361</v>
      </c>
      <c r="J43" s="18">
        <v>41426</v>
      </c>
      <c r="K43" s="17">
        <v>23.056672983999999</v>
      </c>
      <c r="L43" s="17">
        <f t="shared" si="3"/>
        <v>-4.5347819964785485E-2</v>
      </c>
    </row>
    <row r="44" spans="1:12" x14ac:dyDescent="0.3">
      <c r="A44" s="18">
        <v>41456</v>
      </c>
      <c r="B44" s="17">
        <v>48234</v>
      </c>
      <c r="C44" s="17">
        <f t="shared" si="0"/>
        <v>1.6240128689326772E-2</v>
      </c>
      <c r="D44" s="18">
        <v>41456</v>
      </c>
      <c r="E44" s="17">
        <v>2.2902999999999998</v>
      </c>
      <c r="F44" s="17">
        <f t="shared" si="1"/>
        <v>3.3159566175825952E-2</v>
      </c>
      <c r="G44" s="18">
        <v>41456</v>
      </c>
      <c r="H44" s="17">
        <v>14.512491548</v>
      </c>
      <c r="I44" s="17">
        <f t="shared" si="2"/>
        <v>6.7755110185721999E-3</v>
      </c>
      <c r="J44" s="18">
        <v>41456</v>
      </c>
      <c r="K44" s="17">
        <v>24.577938006</v>
      </c>
      <c r="L44" s="17">
        <f t="shared" si="3"/>
        <v>6.3893983586213968E-2</v>
      </c>
    </row>
    <row r="45" spans="1:12" x14ac:dyDescent="0.3">
      <c r="A45" s="18">
        <v>41487</v>
      </c>
      <c r="B45" s="17">
        <v>50011</v>
      </c>
      <c r="C45" s="17">
        <f t="shared" si="0"/>
        <v>3.6178814657816132E-2</v>
      </c>
      <c r="D45" s="18">
        <v>41487</v>
      </c>
      <c r="E45" s="17">
        <v>2.3725000000000001</v>
      </c>
      <c r="F45" s="17">
        <f t="shared" si="1"/>
        <v>3.5261438149308204E-2</v>
      </c>
      <c r="G45" s="18">
        <v>41487</v>
      </c>
      <c r="H45" s="17">
        <v>14.966842112</v>
      </c>
      <c r="I45" s="17">
        <f t="shared" si="2"/>
        <v>3.0827463787384553E-2</v>
      </c>
      <c r="J45" s="18">
        <v>41487</v>
      </c>
      <c r="K45" s="17">
        <v>27.271844815000001</v>
      </c>
      <c r="L45" s="17">
        <f t="shared" si="3"/>
        <v>0.10400563302883024</v>
      </c>
    </row>
    <row r="46" spans="1:12" x14ac:dyDescent="0.3">
      <c r="A46" s="18">
        <v>41518</v>
      </c>
      <c r="B46" s="17">
        <v>52338</v>
      </c>
      <c r="C46" s="17">
        <f t="shared" si="0"/>
        <v>4.5479703447441643E-2</v>
      </c>
      <c r="D46" s="18">
        <v>41518</v>
      </c>
      <c r="E46" s="17">
        <v>2.23</v>
      </c>
      <c r="F46" s="17">
        <f t="shared" si="1"/>
        <v>-6.1942666029918533E-2</v>
      </c>
      <c r="G46" s="18">
        <v>41518</v>
      </c>
      <c r="H46" s="17">
        <v>16.356620309</v>
      </c>
      <c r="I46" s="17">
        <f t="shared" si="2"/>
        <v>8.8795498837281273E-2</v>
      </c>
      <c r="J46" s="18">
        <v>41518</v>
      </c>
      <c r="K46" s="17">
        <v>27.303537836</v>
      </c>
      <c r="L46" s="17">
        <f t="shared" si="3"/>
        <v>1.1614403059835305E-3</v>
      </c>
    </row>
    <row r="47" spans="1:12" x14ac:dyDescent="0.3">
      <c r="A47" s="18">
        <v>41548</v>
      </c>
      <c r="B47" s="17">
        <v>54256</v>
      </c>
      <c r="C47" s="17">
        <f t="shared" si="0"/>
        <v>3.5990900704146261E-2</v>
      </c>
      <c r="D47" s="18">
        <v>41548</v>
      </c>
      <c r="E47" s="17">
        <v>2.2025999999999999</v>
      </c>
      <c r="F47" s="17">
        <f t="shared" si="1"/>
        <v>-1.2363104723320887E-2</v>
      </c>
      <c r="G47" s="18">
        <v>41548</v>
      </c>
      <c r="H47" s="17">
        <v>18.200749069</v>
      </c>
      <c r="I47" s="17">
        <f t="shared" si="2"/>
        <v>0.10683002361914132</v>
      </c>
      <c r="J47" s="18">
        <v>41548</v>
      </c>
      <c r="K47" s="17">
        <v>29.091739829000002</v>
      </c>
      <c r="L47" s="17">
        <f t="shared" si="3"/>
        <v>6.3437994352555441E-2</v>
      </c>
    </row>
    <row r="48" spans="1:12" x14ac:dyDescent="0.3">
      <c r="A48" s="18">
        <v>41579</v>
      </c>
      <c r="B48" s="17">
        <v>52482</v>
      </c>
      <c r="C48" s="17">
        <f t="shared" si="0"/>
        <v>-3.3243331717509893E-2</v>
      </c>
      <c r="D48" s="18">
        <v>41579</v>
      </c>
      <c r="E48" s="17">
        <v>2.3249</v>
      </c>
      <c r="F48" s="17">
        <f t="shared" si="1"/>
        <v>5.4038546612936091E-2</v>
      </c>
      <c r="G48" s="18">
        <v>41579</v>
      </c>
      <c r="H48" s="17">
        <v>17.033691737000002</v>
      </c>
      <c r="I48" s="17">
        <f t="shared" si="2"/>
        <v>-6.6269501241821585E-2</v>
      </c>
      <c r="J48" s="18">
        <v>41579</v>
      </c>
      <c r="K48" s="17">
        <v>29.189390423999999</v>
      </c>
      <c r="L48" s="17">
        <f t="shared" si="3"/>
        <v>3.3510223962876454E-3</v>
      </c>
    </row>
    <row r="49" spans="1:12" x14ac:dyDescent="0.3">
      <c r="A49" s="18">
        <v>41609</v>
      </c>
      <c r="B49" s="17">
        <v>51507</v>
      </c>
      <c r="C49" s="17">
        <f t="shared" si="0"/>
        <v>-1.8752532902588284E-2</v>
      </c>
      <c r="D49" s="18">
        <v>41609</v>
      </c>
      <c r="E49" s="17">
        <v>2.3426</v>
      </c>
      <c r="F49" s="17">
        <f t="shared" si="1"/>
        <v>7.5843962919948339E-3</v>
      </c>
      <c r="G49" s="18">
        <v>41609</v>
      </c>
      <c r="H49" s="17">
        <v>15.21628948</v>
      </c>
      <c r="I49" s="17">
        <f t="shared" si="2"/>
        <v>-0.11282671929844071</v>
      </c>
      <c r="J49" s="18">
        <v>41609</v>
      </c>
      <c r="K49" s="17">
        <v>29.059189630999999</v>
      </c>
      <c r="L49" s="17">
        <f t="shared" si="3"/>
        <v>-4.4705299158358785E-3</v>
      </c>
    </row>
    <row r="50" spans="1:12" x14ac:dyDescent="0.3">
      <c r="A50" s="18">
        <v>41640</v>
      </c>
      <c r="B50" s="17">
        <v>47638</v>
      </c>
      <c r="C50" s="17">
        <f t="shared" si="0"/>
        <v>-7.8086958685461838E-2</v>
      </c>
      <c r="D50" s="18">
        <v>41640</v>
      </c>
      <c r="E50" s="17">
        <v>2.4262999999999999</v>
      </c>
      <c r="F50" s="17">
        <f t="shared" si="1"/>
        <v>3.5106039569159808E-2</v>
      </c>
      <c r="G50" s="18">
        <v>41640</v>
      </c>
      <c r="H50" s="17">
        <v>13.095986848000001</v>
      </c>
      <c r="I50" s="17">
        <f t="shared" si="2"/>
        <v>-0.15006069454068299</v>
      </c>
      <c r="J50" s="18">
        <v>41640</v>
      </c>
      <c r="K50" s="17">
        <v>26.894601435999999</v>
      </c>
      <c r="L50" s="17">
        <f t="shared" si="3"/>
        <v>-7.7409195334682088E-2</v>
      </c>
    </row>
    <row r="51" spans="1:12" x14ac:dyDescent="0.3">
      <c r="A51" s="18">
        <v>41671</v>
      </c>
      <c r="B51" s="17">
        <v>47094</v>
      </c>
      <c r="C51" s="17">
        <f t="shared" si="0"/>
        <v>-1.1485157704991065E-2</v>
      </c>
      <c r="D51" s="18">
        <v>41671</v>
      </c>
      <c r="E51" s="17">
        <v>2.3334000000000001</v>
      </c>
      <c r="F51" s="17">
        <f t="shared" si="1"/>
        <v>-3.9041031815177409E-2</v>
      </c>
      <c r="G51" s="18">
        <v>41671</v>
      </c>
      <c r="H51" s="17">
        <v>12.107106207999999</v>
      </c>
      <c r="I51" s="17">
        <f t="shared" si="2"/>
        <v>-7.8513265659396619E-2</v>
      </c>
      <c r="J51" s="18">
        <v>41671</v>
      </c>
      <c r="K51" s="17">
        <v>26.853913687999999</v>
      </c>
      <c r="L51" s="17">
        <f t="shared" si="3"/>
        <v>-1.5140048307643054E-3</v>
      </c>
    </row>
    <row r="52" spans="1:12" x14ac:dyDescent="0.3">
      <c r="A52" s="18">
        <v>41699</v>
      </c>
      <c r="B52" s="17">
        <v>50414</v>
      </c>
      <c r="C52" s="17">
        <f t="shared" si="0"/>
        <v>6.8123309909265073E-2</v>
      </c>
      <c r="D52" s="18">
        <v>41699</v>
      </c>
      <c r="E52" s="17">
        <v>2.2629999999999999</v>
      </c>
      <c r="F52" s="17">
        <f t="shared" si="1"/>
        <v>-3.0635064756219372E-2</v>
      </c>
      <c r="G52" s="18">
        <v>41699</v>
      </c>
      <c r="H52" s="17">
        <v>14.058140984</v>
      </c>
      <c r="I52" s="17">
        <f t="shared" si="2"/>
        <v>0.14940908730869307</v>
      </c>
      <c r="J52" s="18">
        <v>41699</v>
      </c>
      <c r="K52" s="17">
        <v>25.568180851000001</v>
      </c>
      <c r="L52" s="17">
        <f t="shared" si="3"/>
        <v>-4.9062928631846484E-2</v>
      </c>
    </row>
    <row r="53" spans="1:12" x14ac:dyDescent="0.3">
      <c r="A53" s="18">
        <v>41730</v>
      </c>
      <c r="B53" s="17">
        <v>51626</v>
      </c>
      <c r="C53" s="17">
        <f t="shared" si="0"/>
        <v>2.3756507271643593E-2</v>
      </c>
      <c r="D53" s="18">
        <v>41730</v>
      </c>
      <c r="E53" s="17">
        <v>2.2360000000000002</v>
      </c>
      <c r="F53" s="17">
        <f t="shared" si="1"/>
        <v>-1.2002811358547479E-2</v>
      </c>
      <c r="G53" s="18">
        <v>41730</v>
      </c>
      <c r="H53" s="17">
        <v>15.701971176000001</v>
      </c>
      <c r="I53" s="17">
        <f t="shared" si="2"/>
        <v>0.11058459964314665</v>
      </c>
      <c r="J53" s="18">
        <v>41730</v>
      </c>
      <c r="K53" s="17">
        <v>24.596637204</v>
      </c>
      <c r="L53" s="17">
        <f t="shared" si="3"/>
        <v>-3.8738908322939435E-2</v>
      </c>
    </row>
    <row r="54" spans="1:12" x14ac:dyDescent="0.3">
      <c r="A54" s="18">
        <v>41760</v>
      </c>
      <c r="B54" s="17">
        <v>51239</v>
      </c>
      <c r="C54" s="17">
        <f t="shared" si="0"/>
        <v>-7.524460718669003E-3</v>
      </c>
      <c r="D54" s="18">
        <v>41760</v>
      </c>
      <c r="E54" s="17">
        <v>2.2389999999999999</v>
      </c>
      <c r="F54" s="17">
        <f t="shared" si="1"/>
        <v>1.3407823237648634E-3</v>
      </c>
      <c r="G54" s="18">
        <v>41760</v>
      </c>
      <c r="H54" s="17">
        <v>15.815684908</v>
      </c>
      <c r="I54" s="17">
        <f t="shared" si="2"/>
        <v>7.2159062280982237E-3</v>
      </c>
      <c r="J54" s="18">
        <v>41760</v>
      </c>
      <c r="K54" s="17">
        <v>23.760016890999999</v>
      </c>
      <c r="L54" s="17">
        <f t="shared" si="3"/>
        <v>-3.4605529174898841E-2</v>
      </c>
    </row>
    <row r="55" spans="1:12" x14ac:dyDescent="0.3">
      <c r="A55" s="18">
        <v>41791</v>
      </c>
      <c r="B55" s="17">
        <v>53168</v>
      </c>
      <c r="C55" s="17">
        <f t="shared" si="0"/>
        <v>3.6955750777267135E-2</v>
      </c>
      <c r="D55" s="18">
        <v>41791</v>
      </c>
      <c r="E55" s="17">
        <v>2.2025000000000001</v>
      </c>
      <c r="F55" s="17">
        <f t="shared" si="1"/>
        <v>-1.6436258788420102E-2</v>
      </c>
      <c r="G55" s="18">
        <v>41791</v>
      </c>
      <c r="H55" s="17">
        <v>16.384253568999998</v>
      </c>
      <c r="I55" s="17">
        <f t="shared" si="2"/>
        <v>3.5318562048114406E-2</v>
      </c>
      <c r="J55" s="18">
        <v>41791</v>
      </c>
      <c r="K55" s="17">
        <v>24.462777954</v>
      </c>
      <c r="L55" s="17">
        <f t="shared" si="3"/>
        <v>2.9148489715511431E-2</v>
      </c>
    </row>
    <row r="56" spans="1:12" x14ac:dyDescent="0.3">
      <c r="A56" s="18">
        <v>41821</v>
      </c>
      <c r="B56" s="17">
        <v>55829</v>
      </c>
      <c r="C56" s="17">
        <f t="shared" si="0"/>
        <v>4.8836736032511999E-2</v>
      </c>
      <c r="D56" s="18">
        <v>41821</v>
      </c>
      <c r="E56" s="17">
        <v>2.2673999999999999</v>
      </c>
      <c r="F56" s="17">
        <f t="shared" si="1"/>
        <v>2.9040721773163556E-2</v>
      </c>
      <c r="G56" s="18">
        <v>41821</v>
      </c>
      <c r="H56" s="17">
        <v>18.099435696</v>
      </c>
      <c r="I56" s="17">
        <f t="shared" si="2"/>
        <v>9.9560035408321618E-2</v>
      </c>
      <c r="J56" s="18">
        <v>41821</v>
      </c>
      <c r="K56" s="17">
        <v>27.231991189999999</v>
      </c>
      <c r="L56" s="17">
        <f t="shared" si="3"/>
        <v>0.10723973376408387</v>
      </c>
    </row>
    <row r="57" spans="1:12" x14ac:dyDescent="0.3">
      <c r="A57" s="18">
        <v>41852</v>
      </c>
      <c r="B57" s="17">
        <v>61288</v>
      </c>
      <c r="C57" s="17">
        <f t="shared" si="0"/>
        <v>9.3290617569769446E-2</v>
      </c>
      <c r="D57" s="18">
        <v>41852</v>
      </c>
      <c r="E57" s="17">
        <v>2.2395999999999998</v>
      </c>
      <c r="F57" s="17">
        <f t="shared" si="1"/>
        <v>-1.2336522108760045E-2</v>
      </c>
      <c r="G57" s="18">
        <v>41852</v>
      </c>
      <c r="H57" s="17">
        <v>22.126797041</v>
      </c>
      <c r="I57" s="17">
        <f t="shared" si="2"/>
        <v>0.20090864901854774</v>
      </c>
      <c r="J57" s="18">
        <v>41852</v>
      </c>
      <c r="K57" s="17">
        <v>24.362383516000001</v>
      </c>
      <c r="L57" s="17">
        <f t="shared" si="3"/>
        <v>-0.11135214533492019</v>
      </c>
    </row>
    <row r="58" spans="1:12" x14ac:dyDescent="0.3">
      <c r="A58" s="18">
        <v>41883</v>
      </c>
      <c r="B58" s="17">
        <v>54115</v>
      </c>
      <c r="C58" s="17">
        <f t="shared" si="0"/>
        <v>-0.12447265346741006</v>
      </c>
      <c r="D58" s="18">
        <v>41883</v>
      </c>
      <c r="E58" s="17">
        <v>2.4510000000000001</v>
      </c>
      <c r="F58" s="17">
        <f t="shared" si="1"/>
        <v>9.0198826053374467E-2</v>
      </c>
      <c r="G58" s="18">
        <v>41883</v>
      </c>
      <c r="H58" s="17">
        <v>17.142345117000001</v>
      </c>
      <c r="I58" s="17">
        <f t="shared" si="2"/>
        <v>-0.25523768468206992</v>
      </c>
      <c r="J58" s="18">
        <v>41883</v>
      </c>
      <c r="K58" s="17">
        <v>22.463255405999998</v>
      </c>
      <c r="L58" s="17">
        <f t="shared" si="3"/>
        <v>-8.1159402345910764E-2</v>
      </c>
    </row>
    <row r="59" spans="1:12" x14ac:dyDescent="0.3">
      <c r="A59" s="18">
        <v>41913</v>
      </c>
      <c r="B59" s="17">
        <v>54628</v>
      </c>
      <c r="C59" s="17">
        <f t="shared" si="0"/>
        <v>9.4351600690683584E-3</v>
      </c>
      <c r="D59" s="18">
        <v>41913</v>
      </c>
      <c r="E59" s="17">
        <v>2.4441999999999999</v>
      </c>
      <c r="F59" s="17">
        <f t="shared" si="1"/>
        <v>-2.7782335242124293E-3</v>
      </c>
      <c r="G59" s="18">
        <v>41913</v>
      </c>
      <c r="H59" s="17">
        <v>14.479548555999999</v>
      </c>
      <c r="I59" s="17">
        <f t="shared" si="2"/>
        <v>-0.16881451570593789</v>
      </c>
      <c r="J59" s="18">
        <v>41913</v>
      </c>
      <c r="K59" s="17">
        <v>21.700857637999999</v>
      </c>
      <c r="L59" s="17">
        <f t="shared" si="3"/>
        <v>-3.4529098939728976E-2</v>
      </c>
    </row>
    <row r="60" spans="1:12" x14ac:dyDescent="0.3">
      <c r="A60" s="18">
        <v>41944</v>
      </c>
      <c r="B60" s="17">
        <v>54724</v>
      </c>
      <c r="C60" s="17">
        <f t="shared" si="0"/>
        <v>1.7557982416895564E-3</v>
      </c>
      <c r="D60" s="18">
        <v>41944</v>
      </c>
      <c r="E60" s="17">
        <v>2.5600999999999998</v>
      </c>
      <c r="F60" s="17">
        <f t="shared" si="1"/>
        <v>4.6328449206788455E-2</v>
      </c>
      <c r="G60" s="18">
        <v>41944</v>
      </c>
      <c r="H60" s="17">
        <v>12.129464758999999</v>
      </c>
      <c r="I60" s="17">
        <f t="shared" si="2"/>
        <v>-0.17709961280891814</v>
      </c>
      <c r="J60" s="18">
        <v>41944</v>
      </c>
      <c r="K60" s="17">
        <v>20.225199318000001</v>
      </c>
      <c r="L60" s="17">
        <f t="shared" si="3"/>
        <v>-7.0422464327002859E-2</v>
      </c>
    </row>
    <row r="61" spans="1:12" x14ac:dyDescent="0.3">
      <c r="A61" s="18">
        <v>41974</v>
      </c>
      <c r="B61" s="17">
        <v>50007</v>
      </c>
      <c r="C61" s="17">
        <f t="shared" si="0"/>
        <v>-9.0139374428806998E-2</v>
      </c>
      <c r="D61" s="18">
        <v>41974</v>
      </c>
      <c r="E61" s="17">
        <v>2.6562000000000001</v>
      </c>
      <c r="F61" s="17">
        <f t="shared" si="1"/>
        <v>3.6850209755461806E-2</v>
      </c>
      <c r="G61" s="18">
        <v>41974</v>
      </c>
      <c r="H61" s="17">
        <v>9.4950966318999992</v>
      </c>
      <c r="I61" s="17">
        <f t="shared" si="2"/>
        <v>-0.24486207524301704</v>
      </c>
      <c r="J61" s="18">
        <v>41974</v>
      </c>
      <c r="K61" s="17">
        <v>19.018631633999998</v>
      </c>
      <c r="L61" s="17">
        <f t="shared" si="3"/>
        <v>-6.1510206930836274E-2</v>
      </c>
    </row>
    <row r="62" spans="1:12" x14ac:dyDescent="0.3">
      <c r="A62" s="18">
        <v>42005</v>
      </c>
      <c r="B62" s="17">
        <v>46907</v>
      </c>
      <c r="C62" s="17">
        <f t="shared" si="0"/>
        <v>-6.3996077582713695E-2</v>
      </c>
      <c r="D62" s="18">
        <v>42005</v>
      </c>
      <c r="E62" s="17">
        <v>2.6623000000000001</v>
      </c>
      <c r="F62" s="17">
        <f t="shared" si="1"/>
        <v>2.2938808591870968E-3</v>
      </c>
      <c r="G62" s="18">
        <v>42005</v>
      </c>
      <c r="H62" s="17">
        <v>7.7514860727999997</v>
      </c>
      <c r="I62" s="17">
        <f t="shared" si="2"/>
        <v>-0.20289094503544519</v>
      </c>
      <c r="J62" s="18">
        <v>42005</v>
      </c>
      <c r="K62" s="17">
        <v>16.154118425</v>
      </c>
      <c r="L62" s="17">
        <f t="shared" si="3"/>
        <v>-0.16324408300121857</v>
      </c>
    </row>
    <row r="63" spans="1:12" x14ac:dyDescent="0.3">
      <c r="A63" s="18">
        <v>42036</v>
      </c>
      <c r="B63" s="17">
        <v>51583</v>
      </c>
      <c r="C63" s="17">
        <f t="shared" si="0"/>
        <v>9.502524279382861E-2</v>
      </c>
      <c r="D63" s="18">
        <v>42036</v>
      </c>
      <c r="E63" s="17">
        <v>2.8782000000000001</v>
      </c>
      <c r="F63" s="17">
        <f t="shared" si="1"/>
        <v>7.7974687910735765E-2</v>
      </c>
      <c r="G63" s="18">
        <v>42036</v>
      </c>
      <c r="H63" s="17">
        <v>9.0686701364999998</v>
      </c>
      <c r="I63" s="17">
        <f t="shared" si="2"/>
        <v>0.15694105484850862</v>
      </c>
      <c r="J63" s="18">
        <v>42036</v>
      </c>
      <c r="K63" s="17">
        <v>18.445728991999999</v>
      </c>
      <c r="L63" s="17">
        <f t="shared" si="3"/>
        <v>0.13265782474501886</v>
      </c>
    </row>
    <row r="64" spans="1:12" x14ac:dyDescent="0.3">
      <c r="A64" s="18">
        <v>42064</v>
      </c>
      <c r="B64" s="17">
        <v>51150</v>
      </c>
      <c r="C64" s="17">
        <f t="shared" si="0"/>
        <v>-8.4296684425401013E-3</v>
      </c>
      <c r="D64" s="18">
        <v>42064</v>
      </c>
      <c r="E64" s="17">
        <v>3.2080000000000002</v>
      </c>
      <c r="F64" s="17">
        <f t="shared" si="1"/>
        <v>0.10848259125033193</v>
      </c>
      <c r="G64" s="18">
        <v>42064</v>
      </c>
      <c r="H64" s="17">
        <v>9.2202884459999996</v>
      </c>
      <c r="I64" s="17">
        <f t="shared" si="2"/>
        <v>1.6580690733900727E-2</v>
      </c>
      <c r="J64" s="18">
        <v>42064</v>
      </c>
      <c r="K64" s="17">
        <v>15.572535439999999</v>
      </c>
      <c r="L64" s="17">
        <f t="shared" si="3"/>
        <v>-0.16932403878957694</v>
      </c>
    </row>
    <row r="65" spans="1:12" x14ac:dyDescent="0.3">
      <c r="A65" s="18">
        <v>42095</v>
      </c>
      <c r="B65" s="17">
        <v>56229</v>
      </c>
      <c r="C65" s="17">
        <f t="shared" si="0"/>
        <v>9.4670145647322207E-2</v>
      </c>
      <c r="D65" s="18">
        <v>42095</v>
      </c>
      <c r="E65" s="17">
        <v>2.9935999999999998</v>
      </c>
      <c r="F65" s="17">
        <f t="shared" si="1"/>
        <v>-6.9171013466580028E-2</v>
      </c>
      <c r="G65" s="18">
        <v>42095</v>
      </c>
      <c r="H65" s="17">
        <v>12.366368367</v>
      </c>
      <c r="I65" s="17">
        <f t="shared" si="2"/>
        <v>0.29357423749274991</v>
      </c>
      <c r="J65" s="18">
        <v>42095</v>
      </c>
      <c r="K65" s="17">
        <v>20.312897518</v>
      </c>
      <c r="L65" s="17">
        <f t="shared" si="3"/>
        <v>0.26574721606510271</v>
      </c>
    </row>
    <row r="66" spans="1:12" x14ac:dyDescent="0.3">
      <c r="A66" s="18">
        <v>42125</v>
      </c>
      <c r="B66" s="17">
        <v>52760</v>
      </c>
      <c r="C66" s="17">
        <f t="shared" si="0"/>
        <v>-6.3679310195843816E-2</v>
      </c>
      <c r="D66" s="18">
        <v>42125</v>
      </c>
      <c r="E66" s="17">
        <v>3.1787999999999998</v>
      </c>
      <c r="F66" s="17">
        <f t="shared" si="1"/>
        <v>6.0027090546199174E-2</v>
      </c>
      <c r="G66" s="18">
        <v>42125</v>
      </c>
      <c r="H66" s="17">
        <v>11.684085975</v>
      </c>
      <c r="I66" s="17">
        <f t="shared" si="2"/>
        <v>-5.6752816535785233E-2</v>
      </c>
      <c r="J66" s="18">
        <v>42125</v>
      </c>
      <c r="K66" s="17">
        <v>17.981174182</v>
      </c>
      <c r="L66" s="17">
        <f t="shared" si="3"/>
        <v>-0.12193069820985761</v>
      </c>
    </row>
    <row r="67" spans="1:12" x14ac:dyDescent="0.3">
      <c r="A67" s="18">
        <v>42156</v>
      </c>
      <c r="B67" s="17">
        <v>53080</v>
      </c>
      <c r="C67" s="17">
        <f t="shared" si="0"/>
        <v>6.046881614892907E-3</v>
      </c>
      <c r="D67" s="18">
        <v>42156</v>
      </c>
      <c r="E67" s="17">
        <v>3.1025999999999998</v>
      </c>
      <c r="F67" s="17">
        <f t="shared" si="1"/>
        <v>-2.4263297435793502E-2</v>
      </c>
      <c r="G67" s="18">
        <v>42156</v>
      </c>
      <c r="H67" s="17">
        <v>12.044179460000001</v>
      </c>
      <c r="I67" s="17">
        <f t="shared" si="2"/>
        <v>3.0353768022079456E-2</v>
      </c>
      <c r="J67" s="18">
        <v>42156</v>
      </c>
      <c r="K67" s="17">
        <v>16.402776847999998</v>
      </c>
      <c r="L67" s="17">
        <f t="shared" si="3"/>
        <v>-9.1874691308390155E-2</v>
      </c>
    </row>
    <row r="68" spans="1:12" x14ac:dyDescent="0.3">
      <c r="A68" s="18">
        <v>42186</v>
      </c>
      <c r="B68" s="17">
        <v>50864</v>
      </c>
      <c r="C68" s="17">
        <f t="shared" ref="C68:C118" si="4">LN(B68/B67)</f>
        <v>-4.2644805295559904E-2</v>
      </c>
      <c r="D68" s="18">
        <v>42186</v>
      </c>
      <c r="E68" s="17">
        <v>3.3940000000000001</v>
      </c>
      <c r="F68" s="17">
        <f t="shared" ref="F68:F118" si="5">LN(E68/E67)</f>
        <v>8.9768697163940966E-2</v>
      </c>
      <c r="G68" s="18">
        <v>42186</v>
      </c>
      <c r="H68" s="17">
        <v>9.9499515604000006</v>
      </c>
      <c r="I68" s="17">
        <f t="shared" ref="I68:I118" si="6">LN(H68/H67)</f>
        <v>-0.19101382801666156</v>
      </c>
      <c r="J68" s="18">
        <v>42186</v>
      </c>
      <c r="K68" s="17">
        <v>16.026113847000001</v>
      </c>
      <c r="L68" s="17">
        <f t="shared" ref="L68:L118" si="7">LN(K68/K67)</f>
        <v>-2.3231133272820177E-2</v>
      </c>
    </row>
    <row r="69" spans="1:12" x14ac:dyDescent="0.3">
      <c r="A69" s="18">
        <v>42217</v>
      </c>
      <c r="B69" s="17">
        <v>46625</v>
      </c>
      <c r="C69" s="17">
        <f t="shared" si="4"/>
        <v>-8.7018526204467289E-2</v>
      </c>
      <c r="D69" s="18">
        <v>42217</v>
      </c>
      <c r="E69" s="17">
        <v>3.6467000000000001</v>
      </c>
      <c r="F69" s="17">
        <f t="shared" si="5"/>
        <v>7.1813482239738741E-2</v>
      </c>
      <c r="G69" s="18">
        <v>42217</v>
      </c>
      <c r="H69" s="17">
        <v>8.7085766513999996</v>
      </c>
      <c r="I69" s="17">
        <f t="shared" si="6"/>
        <v>-0.13325932079999414</v>
      </c>
      <c r="J69" s="18">
        <v>42217</v>
      </c>
      <c r="K69" s="17">
        <v>16.070954681</v>
      </c>
      <c r="L69" s="17">
        <f t="shared" si="7"/>
        <v>2.7940784145509094E-3</v>
      </c>
    </row>
    <row r="70" spans="1:12" x14ac:dyDescent="0.3">
      <c r="A70" s="18">
        <v>42248</v>
      </c>
      <c r="B70" s="17">
        <v>45059</v>
      </c>
      <c r="C70" s="17">
        <f t="shared" si="4"/>
        <v>-3.4164135838187462E-2</v>
      </c>
      <c r="D70" s="18">
        <v>42248</v>
      </c>
      <c r="E70" s="17">
        <v>3.9729000000000001</v>
      </c>
      <c r="F70" s="17">
        <f t="shared" si="5"/>
        <v>8.5673657567118019E-2</v>
      </c>
      <c r="G70" s="18">
        <v>42248</v>
      </c>
      <c r="H70" s="17">
        <v>6.8607285044999999</v>
      </c>
      <c r="I70" s="17">
        <f t="shared" si="6"/>
        <v>-0.23849472996649715</v>
      </c>
      <c r="J70" s="18">
        <v>42248</v>
      </c>
      <c r="K70" s="17">
        <v>14.869220346000001</v>
      </c>
      <c r="L70" s="17">
        <f t="shared" si="7"/>
        <v>-7.7720257879641985E-2</v>
      </c>
    </row>
    <row r="71" spans="1:12" x14ac:dyDescent="0.3">
      <c r="A71" s="18">
        <v>42278</v>
      </c>
      <c r="B71" s="17">
        <v>45868</v>
      </c>
      <c r="C71" s="17">
        <f t="shared" si="4"/>
        <v>1.7794964050265868E-2</v>
      </c>
      <c r="D71" s="18">
        <v>42278</v>
      </c>
      <c r="E71" s="17">
        <v>3.8589000000000002</v>
      </c>
      <c r="F71" s="17">
        <f t="shared" si="5"/>
        <v>-2.9114137848248883E-2</v>
      </c>
      <c r="G71" s="18">
        <v>42278</v>
      </c>
      <c r="H71" s="17">
        <v>7.3061072885999998</v>
      </c>
      <c r="I71" s="17">
        <f t="shared" si="6"/>
        <v>6.2896981173246089E-2</v>
      </c>
      <c r="J71" s="18">
        <v>42278</v>
      </c>
      <c r="K71" s="17">
        <v>15.607069787</v>
      </c>
      <c r="L71" s="17">
        <f t="shared" si="7"/>
        <v>4.8430675310381338E-2</v>
      </c>
    </row>
    <row r="72" spans="1:12" x14ac:dyDescent="0.3">
      <c r="A72" s="18">
        <v>42309</v>
      </c>
      <c r="B72" s="17">
        <v>45120</v>
      </c>
      <c r="C72" s="17">
        <f t="shared" si="4"/>
        <v>-1.6442098986254511E-2</v>
      </c>
      <c r="D72" s="18">
        <v>42309</v>
      </c>
      <c r="E72" s="17">
        <v>3.8506</v>
      </c>
      <c r="F72" s="17">
        <f t="shared" si="5"/>
        <v>-2.1531884575443816E-3</v>
      </c>
      <c r="G72" s="18">
        <v>42309</v>
      </c>
      <c r="H72" s="17">
        <v>7.2682027112999998</v>
      </c>
      <c r="I72" s="17">
        <f t="shared" si="6"/>
        <v>-5.2015721860622019E-3</v>
      </c>
      <c r="J72" s="18">
        <v>42309</v>
      </c>
      <c r="K72" s="17">
        <v>12.048365129</v>
      </c>
      <c r="L72" s="17">
        <f t="shared" si="7"/>
        <v>-0.25879502627939588</v>
      </c>
    </row>
    <row r="73" spans="1:12" x14ac:dyDescent="0.3">
      <c r="A73" s="18">
        <v>42339</v>
      </c>
      <c r="B73" s="17">
        <v>43349</v>
      </c>
      <c r="C73" s="17">
        <f t="shared" si="4"/>
        <v>-4.0041972280073862E-2</v>
      </c>
      <c r="D73" s="18">
        <v>42339</v>
      </c>
      <c r="E73" s="17">
        <v>3.9047999999999998</v>
      </c>
      <c r="F73" s="17">
        <f t="shared" si="5"/>
        <v>1.3977585277702431E-2</v>
      </c>
      <c r="G73" s="18">
        <v>42339</v>
      </c>
      <c r="H73" s="17">
        <v>6.3490167099999999</v>
      </c>
      <c r="I73" s="17">
        <f t="shared" si="6"/>
        <v>-0.13520908898244977</v>
      </c>
      <c r="J73" s="18">
        <v>42339</v>
      </c>
      <c r="K73" s="17">
        <v>11.920288354</v>
      </c>
      <c r="L73" s="17">
        <f t="shared" si="7"/>
        <v>-1.0687124673789712E-2</v>
      </c>
    </row>
    <row r="74" spans="1:12" x14ac:dyDescent="0.3">
      <c r="A74" s="18">
        <v>42370</v>
      </c>
      <c r="B74" s="17">
        <v>40405</v>
      </c>
      <c r="C74" s="17">
        <f t="shared" si="4"/>
        <v>-7.033009522431867E-2</v>
      </c>
      <c r="D74" s="18">
        <v>42370</v>
      </c>
      <c r="E74" s="17">
        <v>4.0427999999999997</v>
      </c>
      <c r="F74" s="17">
        <f t="shared" si="5"/>
        <v>3.4730955627569685E-2</v>
      </c>
      <c r="G74" s="18">
        <v>42370</v>
      </c>
      <c r="H74" s="17">
        <v>4.5864538620999999</v>
      </c>
      <c r="I74" s="17">
        <f t="shared" si="6"/>
        <v>-0.32519280567911896</v>
      </c>
      <c r="J74" s="18">
        <v>42370</v>
      </c>
      <c r="K74" s="17">
        <v>8.8921874758000001</v>
      </c>
      <c r="L74" s="17">
        <f t="shared" si="7"/>
        <v>-0.29306877258850744</v>
      </c>
    </row>
    <row r="75" spans="1:12" x14ac:dyDescent="0.3">
      <c r="A75" s="18">
        <v>42401</v>
      </c>
      <c r="B75" s="17">
        <v>42793</v>
      </c>
      <c r="C75" s="17">
        <f t="shared" si="4"/>
        <v>5.7420998124481905E-2</v>
      </c>
      <c r="D75" s="18">
        <v>42401</v>
      </c>
      <c r="E75" s="17">
        <v>3.9796</v>
      </c>
      <c r="F75" s="17">
        <f t="shared" si="5"/>
        <v>-1.5756209485302805E-2</v>
      </c>
      <c r="G75" s="18">
        <v>42401</v>
      </c>
      <c r="H75" s="17">
        <v>4.8707381924000002</v>
      </c>
      <c r="I75" s="17">
        <f t="shared" si="6"/>
        <v>6.0138358739466664E-2</v>
      </c>
      <c r="J75" s="18">
        <v>42401</v>
      </c>
      <c r="K75" s="17">
        <v>10.804190749</v>
      </c>
      <c r="L75" s="17">
        <f t="shared" si="7"/>
        <v>0.19476101165200346</v>
      </c>
    </row>
    <row r="76" spans="1:12" x14ac:dyDescent="0.3">
      <c r="A76" s="18">
        <v>42430</v>
      </c>
      <c r="B76" s="17">
        <v>50055</v>
      </c>
      <c r="C76" s="17">
        <f t="shared" si="4"/>
        <v>0.15674786306155405</v>
      </c>
      <c r="D76" s="18">
        <v>42430</v>
      </c>
      <c r="E76" s="17">
        <v>3.5589</v>
      </c>
      <c r="F76" s="17">
        <f t="shared" si="5"/>
        <v>-0.11172980338003734</v>
      </c>
      <c r="G76" s="18">
        <v>42430</v>
      </c>
      <c r="H76" s="17">
        <v>7.9125805266000002</v>
      </c>
      <c r="I76" s="17">
        <f t="shared" si="6"/>
        <v>0.48520845940021445</v>
      </c>
      <c r="J76" s="18">
        <v>42430</v>
      </c>
      <c r="K76" s="17">
        <v>13.859736652</v>
      </c>
      <c r="L76" s="17">
        <f t="shared" si="7"/>
        <v>0.2490539018241236</v>
      </c>
    </row>
    <row r="77" spans="1:12" x14ac:dyDescent="0.3">
      <c r="A77" s="18">
        <v>42461</v>
      </c>
      <c r="B77" s="17">
        <v>53910</v>
      </c>
      <c r="C77" s="17">
        <f t="shared" si="4"/>
        <v>7.4193588592130391E-2</v>
      </c>
      <c r="D77" s="18">
        <v>42461</v>
      </c>
      <c r="E77" s="17">
        <v>3.4508000000000001</v>
      </c>
      <c r="F77" s="17">
        <f t="shared" si="5"/>
        <v>-3.0845420132743488E-2</v>
      </c>
      <c r="G77" s="18">
        <v>42461</v>
      </c>
      <c r="H77" s="17">
        <v>9.6940956631000006</v>
      </c>
      <c r="I77" s="17">
        <f t="shared" si="6"/>
        <v>0.20306304109789253</v>
      </c>
      <c r="J77" s="18">
        <v>42461</v>
      </c>
      <c r="K77" s="17">
        <v>18.013083476999999</v>
      </c>
      <c r="L77" s="17">
        <f t="shared" si="7"/>
        <v>0.26211036069078236</v>
      </c>
    </row>
    <row r="78" spans="1:12" x14ac:dyDescent="0.3">
      <c r="A78" s="18">
        <v>42491</v>
      </c>
      <c r="B78" s="17">
        <v>48471</v>
      </c>
      <c r="C78" s="17">
        <f t="shared" si="4"/>
        <v>-0.10635030850077418</v>
      </c>
      <c r="D78" s="18">
        <v>42491</v>
      </c>
      <c r="E78" s="17">
        <v>3.5951</v>
      </c>
      <c r="F78" s="17">
        <f t="shared" si="5"/>
        <v>4.096571897753698E-2</v>
      </c>
      <c r="G78" s="18">
        <v>42491</v>
      </c>
      <c r="H78" s="17">
        <v>7.6188200519000002</v>
      </c>
      <c r="I78" s="17">
        <f t="shared" si="6"/>
        <v>-0.24089549677762542</v>
      </c>
      <c r="J78" s="18">
        <v>42491</v>
      </c>
      <c r="K78" s="17">
        <v>13.008940936</v>
      </c>
      <c r="L78" s="17">
        <f t="shared" si="7"/>
        <v>-0.325461468327082</v>
      </c>
    </row>
    <row r="79" spans="1:12" x14ac:dyDescent="0.3">
      <c r="A79" s="18">
        <v>42522</v>
      </c>
      <c r="B79" s="17">
        <v>51526</v>
      </c>
      <c r="C79" s="17">
        <f t="shared" si="4"/>
        <v>6.1120853679728339E-2</v>
      </c>
      <c r="D79" s="18">
        <v>42522</v>
      </c>
      <c r="E79" s="17">
        <v>3.2098</v>
      </c>
      <c r="F79" s="17">
        <f t="shared" si="5"/>
        <v>-0.11336317729290493</v>
      </c>
      <c r="G79" s="18">
        <v>42522</v>
      </c>
      <c r="H79" s="17">
        <v>8.9265279713000005</v>
      </c>
      <c r="I79" s="17">
        <f t="shared" si="6"/>
        <v>0.15840600540232916</v>
      </c>
      <c r="J79" s="18">
        <v>42522</v>
      </c>
      <c r="K79" s="17">
        <v>14.884350846</v>
      </c>
      <c r="L79" s="17">
        <f t="shared" si="7"/>
        <v>0.13467349686246605</v>
      </c>
    </row>
    <row r="80" spans="1:12" x14ac:dyDescent="0.3">
      <c r="A80" s="18">
        <v>42552</v>
      </c>
      <c r="B80" s="17">
        <v>57308</v>
      </c>
      <c r="C80" s="17">
        <f t="shared" si="4"/>
        <v>0.10635369538859445</v>
      </c>
      <c r="D80" s="18">
        <v>42552</v>
      </c>
      <c r="E80" s="17">
        <v>3.2389999999999999</v>
      </c>
      <c r="F80" s="17">
        <f t="shared" si="5"/>
        <v>9.056010284273391E-3</v>
      </c>
      <c r="G80" s="18">
        <v>42552</v>
      </c>
      <c r="H80" s="17">
        <v>11.248183335</v>
      </c>
      <c r="I80" s="17">
        <f t="shared" si="6"/>
        <v>0.23117911999903668</v>
      </c>
      <c r="J80" s="18">
        <v>42552</v>
      </c>
      <c r="K80" s="17">
        <v>16.924430895</v>
      </c>
      <c r="L80" s="17">
        <f t="shared" si="7"/>
        <v>0.12844781089200924</v>
      </c>
    </row>
    <row r="81" spans="1:12" x14ac:dyDescent="0.3">
      <c r="A81" s="18">
        <v>42583</v>
      </c>
      <c r="B81" s="17">
        <v>57901</v>
      </c>
      <c r="C81" s="17">
        <f t="shared" si="4"/>
        <v>1.0294425555846446E-2</v>
      </c>
      <c r="D81" s="18">
        <v>42583</v>
      </c>
      <c r="E81" s="17">
        <v>3.2403</v>
      </c>
      <c r="F81" s="17">
        <f t="shared" si="5"/>
        <v>4.0127792120882891E-4</v>
      </c>
      <c r="G81" s="18">
        <v>42583</v>
      </c>
      <c r="H81" s="17">
        <v>12.176845481000001</v>
      </c>
      <c r="I81" s="17">
        <f t="shared" si="6"/>
        <v>7.9329602752307798E-2</v>
      </c>
      <c r="J81" s="18">
        <v>42583</v>
      </c>
      <c r="K81" s="17">
        <v>15.497289694999999</v>
      </c>
      <c r="L81" s="17">
        <f t="shared" si="7"/>
        <v>-8.8093042873625113E-2</v>
      </c>
    </row>
    <row r="82" spans="1:12" x14ac:dyDescent="0.3">
      <c r="A82" s="18">
        <v>42614</v>
      </c>
      <c r="B82" s="17">
        <v>58367</v>
      </c>
      <c r="C82" s="17">
        <f t="shared" si="4"/>
        <v>8.0160060426891725E-3</v>
      </c>
      <c r="D82" s="18">
        <v>42614</v>
      </c>
      <c r="E82" s="17">
        <v>3.2462</v>
      </c>
      <c r="F82" s="17">
        <f t="shared" si="5"/>
        <v>1.8191633784319992E-3</v>
      </c>
      <c r="G82" s="18">
        <v>42614</v>
      </c>
      <c r="H82" s="17">
        <v>12.859127873</v>
      </c>
      <c r="I82" s="17">
        <f t="shared" si="6"/>
        <v>5.4517662450356344E-2</v>
      </c>
      <c r="J82" s="18">
        <v>42614</v>
      </c>
      <c r="K82" s="17">
        <v>16.293195364999999</v>
      </c>
      <c r="L82" s="17">
        <f t="shared" si="7"/>
        <v>5.0082408132551846E-2</v>
      </c>
    </row>
    <row r="83" spans="1:12" x14ac:dyDescent="0.3">
      <c r="A83" s="18">
        <v>42644</v>
      </c>
      <c r="B83" s="17">
        <v>64924</v>
      </c>
      <c r="C83" s="17">
        <f t="shared" si="4"/>
        <v>0.10646669341316241</v>
      </c>
      <c r="D83" s="18">
        <v>42644</v>
      </c>
      <c r="E83" s="17">
        <v>3.1810999999999998</v>
      </c>
      <c r="F83" s="17">
        <f t="shared" si="5"/>
        <v>-2.0258032560807555E-2</v>
      </c>
      <c r="G83" s="18">
        <v>42644</v>
      </c>
      <c r="H83" s="17">
        <v>16.763299343</v>
      </c>
      <c r="I83" s="17">
        <f t="shared" si="6"/>
        <v>0.26513803437388783</v>
      </c>
      <c r="J83" s="18">
        <v>42644</v>
      </c>
      <c r="K83" s="17">
        <v>20.199536982000001</v>
      </c>
      <c r="L83" s="17">
        <f t="shared" si="7"/>
        <v>0.21491212408013907</v>
      </c>
    </row>
    <row r="84" spans="1:12" x14ac:dyDescent="0.3">
      <c r="A84" s="18">
        <v>42675</v>
      </c>
      <c r="B84" s="17">
        <v>61906</v>
      </c>
      <c r="C84" s="17">
        <f t="shared" si="4"/>
        <v>-4.7600249516616358E-2</v>
      </c>
      <c r="D84" s="18">
        <v>42675</v>
      </c>
      <c r="E84" s="17">
        <v>3.3967000000000001</v>
      </c>
      <c r="F84" s="17">
        <f t="shared" si="5"/>
        <v>6.5577323133034562E-2</v>
      </c>
      <c r="G84" s="18">
        <v>42675</v>
      </c>
      <c r="H84" s="17">
        <v>15.161830949000001</v>
      </c>
      <c r="I84" s="17">
        <f t="shared" si="6"/>
        <v>-0.10041078593262108</v>
      </c>
      <c r="J84" s="18">
        <v>42675</v>
      </c>
      <c r="K84" s="17">
        <v>25.670244915000001</v>
      </c>
      <c r="L84" s="17">
        <f t="shared" si="7"/>
        <v>0.23967285328002874</v>
      </c>
    </row>
    <row r="85" spans="1:12" x14ac:dyDescent="0.3">
      <c r="A85" s="18">
        <v>42705</v>
      </c>
      <c r="B85" s="17">
        <v>60227</v>
      </c>
      <c r="C85" s="17">
        <f t="shared" si="4"/>
        <v>-2.7496348776340683E-2</v>
      </c>
      <c r="D85" s="18">
        <v>42705</v>
      </c>
      <c r="E85" s="17">
        <v>3.2591000000000001</v>
      </c>
      <c r="F85" s="17">
        <f t="shared" si="5"/>
        <v>-4.1353288417412801E-2</v>
      </c>
      <c r="G85" s="18">
        <v>42705</v>
      </c>
      <c r="H85" s="17">
        <v>14.091026638000001</v>
      </c>
      <c r="I85" s="17">
        <f t="shared" si="6"/>
        <v>-7.3242961783818158E-2</v>
      </c>
      <c r="J85" s="18">
        <v>42705</v>
      </c>
      <c r="K85" s="17">
        <v>23.630968792000001</v>
      </c>
      <c r="L85" s="17">
        <f t="shared" si="7"/>
        <v>-8.2774446991033507E-2</v>
      </c>
    </row>
    <row r="86" spans="1:12" x14ac:dyDescent="0.3">
      <c r="A86" s="18">
        <v>42736</v>
      </c>
      <c r="B86" s="17">
        <v>64670</v>
      </c>
      <c r="C86" s="17">
        <f t="shared" si="4"/>
        <v>7.1176658708634363E-2</v>
      </c>
      <c r="D86" s="18">
        <v>42736</v>
      </c>
      <c r="E86" s="17">
        <v>3.1269999999999998</v>
      </c>
      <c r="F86" s="17">
        <f t="shared" si="5"/>
        <v>-4.137700516794332E-2</v>
      </c>
      <c r="G86" s="18">
        <v>42736</v>
      </c>
      <c r="H86" s="17">
        <v>14.233168803</v>
      </c>
      <c r="I86" s="17">
        <f t="shared" si="6"/>
        <v>1.0036885853766551E-2</v>
      </c>
      <c r="J86" s="18">
        <v>42736</v>
      </c>
      <c r="K86" s="17">
        <v>29.612327715999999</v>
      </c>
      <c r="L86" s="17">
        <f t="shared" si="7"/>
        <v>0.22563266276919786</v>
      </c>
    </row>
    <row r="87" spans="1:12" x14ac:dyDescent="0.3">
      <c r="A87" s="18">
        <v>42767</v>
      </c>
      <c r="B87" s="17">
        <v>66662</v>
      </c>
      <c r="C87" s="17">
        <f t="shared" si="4"/>
        <v>3.0337659971311139E-2</v>
      </c>
      <c r="D87" s="18">
        <v>42767</v>
      </c>
      <c r="E87" s="17">
        <v>3.0992999999999999</v>
      </c>
      <c r="F87" s="17">
        <f t="shared" si="5"/>
        <v>-8.8977989343317857E-3</v>
      </c>
      <c r="G87" s="18">
        <v>42767</v>
      </c>
      <c r="H87" s="17">
        <v>14.384787113</v>
      </c>
      <c r="I87" s="17">
        <f t="shared" si="6"/>
        <v>1.0596125667225969E-2</v>
      </c>
      <c r="J87" s="18">
        <v>42767</v>
      </c>
      <c r="K87" s="17">
        <v>30.109240611000001</v>
      </c>
      <c r="L87" s="17">
        <f t="shared" si="7"/>
        <v>1.6641370164591392E-2</v>
      </c>
    </row>
    <row r="88" spans="1:12" x14ac:dyDescent="0.3">
      <c r="A88" s="18">
        <v>42795</v>
      </c>
      <c r="B88" s="17">
        <v>64984</v>
      </c>
      <c r="C88" s="17">
        <f t="shared" si="4"/>
        <v>-2.5493989681159873E-2</v>
      </c>
      <c r="D88" s="18">
        <v>42795</v>
      </c>
      <c r="E88" s="17">
        <v>3.1684000000000001</v>
      </c>
      <c r="F88" s="17">
        <f t="shared" si="5"/>
        <v>2.2050449066615199E-2</v>
      </c>
      <c r="G88" s="18">
        <v>42795</v>
      </c>
      <c r="H88" s="17">
        <v>13.730933153000001</v>
      </c>
      <c r="I88" s="17">
        <f t="shared" si="6"/>
        <v>-4.6520015658065419E-2</v>
      </c>
      <c r="J88" s="18">
        <v>42795</v>
      </c>
      <c r="K88" s="17">
        <v>27.413028050000001</v>
      </c>
      <c r="L88" s="17">
        <f t="shared" si="7"/>
        <v>-9.3813745015699085E-2</v>
      </c>
    </row>
    <row r="89" spans="1:12" x14ac:dyDescent="0.3">
      <c r="A89" s="18">
        <v>42826</v>
      </c>
      <c r="B89" s="17">
        <v>65403</v>
      </c>
      <c r="C89" s="17">
        <f t="shared" si="4"/>
        <v>6.4270432220655841E-3</v>
      </c>
      <c r="D89" s="18">
        <v>42826</v>
      </c>
      <c r="E89" s="17">
        <v>3.1983999999999999</v>
      </c>
      <c r="F89" s="17">
        <f t="shared" si="5"/>
        <v>9.4239561560108698E-3</v>
      </c>
      <c r="G89" s="18">
        <v>42826</v>
      </c>
      <c r="H89" s="17">
        <v>13.238173647</v>
      </c>
      <c r="I89" s="17">
        <f t="shared" si="6"/>
        <v>-3.6546583076128E-2</v>
      </c>
      <c r="J89" s="18">
        <v>42826</v>
      </c>
      <c r="K89" s="17">
        <v>26.121453122999998</v>
      </c>
      <c r="L89" s="17">
        <f t="shared" si="7"/>
        <v>-4.8261441227176606E-2</v>
      </c>
    </row>
    <row r="90" spans="1:12" x14ac:dyDescent="0.3">
      <c r="A90" s="18">
        <v>42856</v>
      </c>
      <c r="B90" s="17">
        <v>62711</v>
      </c>
      <c r="C90" s="17">
        <f t="shared" si="4"/>
        <v>-4.2031258122902912E-2</v>
      </c>
      <c r="D90" s="18">
        <v>42856</v>
      </c>
      <c r="E90" s="17">
        <v>3.2437</v>
      </c>
      <c r="F90" s="17">
        <f t="shared" si="5"/>
        <v>1.4063968791073456E-2</v>
      </c>
      <c r="G90" s="18">
        <v>42856</v>
      </c>
      <c r="H90" s="17">
        <v>12.281083067999999</v>
      </c>
      <c r="I90" s="17">
        <f t="shared" si="6"/>
        <v>-7.5044482374817659E-2</v>
      </c>
      <c r="J90" s="18">
        <v>42856</v>
      </c>
      <c r="K90" s="17">
        <v>25.83618061</v>
      </c>
      <c r="L90" s="17">
        <f t="shared" si="7"/>
        <v>-1.0981076662176884E-2</v>
      </c>
    </row>
    <row r="91" spans="1:12" x14ac:dyDescent="0.3">
      <c r="A91" s="18">
        <v>42887</v>
      </c>
      <c r="B91" s="17">
        <v>62899</v>
      </c>
      <c r="C91" s="17">
        <f t="shared" si="4"/>
        <v>2.9933944810086755E-3</v>
      </c>
      <c r="D91" s="18">
        <v>42887</v>
      </c>
      <c r="E91" s="17">
        <v>3.3081999999999998</v>
      </c>
      <c r="F91" s="17">
        <f t="shared" si="5"/>
        <v>1.968958127091169E-2</v>
      </c>
      <c r="G91" s="18">
        <v>42887</v>
      </c>
      <c r="H91" s="17">
        <v>11.721990551999999</v>
      </c>
      <c r="I91" s="17">
        <f t="shared" si="6"/>
        <v>-4.6593504501564256E-2</v>
      </c>
      <c r="J91" s="18">
        <v>42887</v>
      </c>
      <c r="K91" s="17">
        <v>27.57634294</v>
      </c>
      <c r="L91" s="17">
        <f t="shared" si="7"/>
        <v>6.5182406534604095E-2</v>
      </c>
    </row>
    <row r="92" spans="1:12" x14ac:dyDescent="0.3">
      <c r="A92" s="18">
        <v>42917</v>
      </c>
      <c r="B92" s="17">
        <v>65920</v>
      </c>
      <c r="C92" s="17">
        <f t="shared" si="4"/>
        <v>4.6911620272392415E-2</v>
      </c>
      <c r="D92" s="18">
        <v>42917</v>
      </c>
      <c r="E92" s="17">
        <v>3.1307</v>
      </c>
      <c r="F92" s="17">
        <f t="shared" si="5"/>
        <v>-5.5147613105580522E-2</v>
      </c>
      <c r="G92" s="18">
        <v>42917</v>
      </c>
      <c r="H92" s="17">
        <v>12.593795832</v>
      </c>
      <c r="I92" s="17">
        <f t="shared" si="6"/>
        <v>7.1737686357731409E-2</v>
      </c>
      <c r="J92" s="18">
        <v>42917</v>
      </c>
      <c r="K92" s="17">
        <v>29.763432208000001</v>
      </c>
      <c r="L92" s="17">
        <f t="shared" si="7"/>
        <v>7.6322267571219141E-2</v>
      </c>
    </row>
    <row r="93" spans="1:12" x14ac:dyDescent="0.3">
      <c r="A93" s="18">
        <v>42948</v>
      </c>
      <c r="B93" s="17">
        <v>70835.05</v>
      </c>
      <c r="C93" s="17">
        <f t="shared" si="4"/>
        <v>7.1912049095593192E-2</v>
      </c>
      <c r="D93" s="18">
        <v>42948</v>
      </c>
      <c r="E93" s="17">
        <v>3.1471</v>
      </c>
      <c r="F93" s="17">
        <f t="shared" si="5"/>
        <v>5.2247721518950503E-3</v>
      </c>
      <c r="G93" s="18">
        <v>42948</v>
      </c>
      <c r="H93" s="17">
        <v>12.934937028</v>
      </c>
      <c r="I93" s="17">
        <f t="shared" si="6"/>
        <v>2.6727648878590634E-2</v>
      </c>
      <c r="J93" s="18">
        <v>42948</v>
      </c>
      <c r="K93" s="17">
        <v>33.357865873999998</v>
      </c>
      <c r="L93" s="17">
        <f t="shared" si="7"/>
        <v>0.11401306995745324</v>
      </c>
    </row>
    <row r="94" spans="1:12" x14ac:dyDescent="0.3">
      <c r="A94" s="18">
        <v>42979</v>
      </c>
      <c r="B94" s="17">
        <v>74293.509999999995</v>
      </c>
      <c r="C94" s="17">
        <f t="shared" si="4"/>
        <v>4.7669664624983649E-2</v>
      </c>
      <c r="D94" s="18">
        <v>42979</v>
      </c>
      <c r="E94" s="17">
        <v>3.1680000000000001</v>
      </c>
      <c r="F94" s="17">
        <f t="shared" si="5"/>
        <v>6.6190800798814784E-3</v>
      </c>
      <c r="G94" s="18">
        <v>42979</v>
      </c>
      <c r="H94" s="17">
        <v>14.498500845000001</v>
      </c>
      <c r="I94" s="17">
        <f t="shared" si="6"/>
        <v>0.11411330679698073</v>
      </c>
      <c r="J94" s="18">
        <v>42979</v>
      </c>
      <c r="K94" s="17">
        <v>30.305449982999999</v>
      </c>
      <c r="L94" s="17">
        <f t="shared" si="7"/>
        <v>-9.596603907543326E-2</v>
      </c>
    </row>
    <row r="95" spans="1:12" x14ac:dyDescent="0.3">
      <c r="A95" s="18">
        <v>43009</v>
      </c>
      <c r="B95" s="17">
        <v>74308.490000000005</v>
      </c>
      <c r="C95" s="17">
        <f t="shared" si="4"/>
        <v>2.0161236121652817E-4</v>
      </c>
      <c r="D95" s="18">
        <v>43009</v>
      </c>
      <c r="E95" s="17">
        <v>3.2768999999999999</v>
      </c>
      <c r="F95" s="17">
        <f t="shared" si="5"/>
        <v>3.3797379583290495E-2</v>
      </c>
      <c r="G95" s="18">
        <v>43009</v>
      </c>
      <c r="H95" s="17">
        <v>15.891494063</v>
      </c>
      <c r="I95" s="17">
        <f t="shared" si="6"/>
        <v>9.1738747408965898E-2</v>
      </c>
      <c r="J95" s="18">
        <v>43009</v>
      </c>
      <c r="K95" s="17">
        <v>30.524158910000001</v>
      </c>
      <c r="L95" s="17">
        <f t="shared" si="7"/>
        <v>7.190901714332047E-3</v>
      </c>
    </row>
    <row r="96" spans="1:12" x14ac:dyDescent="0.3">
      <c r="A96" s="18">
        <v>43040</v>
      </c>
      <c r="B96" s="17">
        <v>71970.990000000005</v>
      </c>
      <c r="C96" s="17">
        <f t="shared" si="4"/>
        <v>-3.1962090526351156E-2</v>
      </c>
      <c r="D96" s="18">
        <v>43040</v>
      </c>
      <c r="E96" s="17">
        <v>3.2616000000000001</v>
      </c>
      <c r="F96" s="17">
        <f t="shared" si="5"/>
        <v>-4.6799810125634066E-3</v>
      </c>
      <c r="G96" s="18">
        <v>43040</v>
      </c>
      <c r="H96" s="17">
        <v>14.574309999</v>
      </c>
      <c r="I96" s="17">
        <f t="shared" si="6"/>
        <v>-8.652361178098178E-2</v>
      </c>
      <c r="J96" s="18">
        <v>43040</v>
      </c>
      <c r="K96" s="17">
        <v>33.414920377000001</v>
      </c>
      <c r="L96" s="17">
        <f t="shared" si="7"/>
        <v>9.0484052626989886E-2</v>
      </c>
    </row>
    <row r="97" spans="1:12" x14ac:dyDescent="0.3">
      <c r="A97" s="18">
        <v>43070</v>
      </c>
      <c r="B97" s="17">
        <v>76402.080000000002</v>
      </c>
      <c r="C97" s="17">
        <f t="shared" si="4"/>
        <v>5.9746799776109097E-2</v>
      </c>
      <c r="D97" s="18">
        <v>43070</v>
      </c>
      <c r="E97" s="17">
        <v>3.3079999999999998</v>
      </c>
      <c r="F97" s="17">
        <f t="shared" si="5"/>
        <v>1.4125904638538187E-2</v>
      </c>
      <c r="G97" s="18">
        <v>43070</v>
      </c>
      <c r="H97" s="17">
        <v>15.256592392</v>
      </c>
      <c r="I97" s="17">
        <f t="shared" si="6"/>
        <v>4.5751307934483697E-2</v>
      </c>
      <c r="J97" s="18">
        <v>43070</v>
      </c>
      <c r="K97" s="17">
        <v>38.692518428</v>
      </c>
      <c r="L97" s="17">
        <f t="shared" si="7"/>
        <v>0.14664374096449281</v>
      </c>
    </row>
    <row r="98" spans="1:12" x14ac:dyDescent="0.3">
      <c r="A98" s="18">
        <v>43101</v>
      </c>
      <c r="B98" s="17">
        <v>84912.7</v>
      </c>
      <c r="C98" s="17">
        <f t="shared" si="4"/>
        <v>0.10561374894769644</v>
      </c>
      <c r="D98" s="18">
        <v>43101</v>
      </c>
      <c r="E98" s="17">
        <v>3.1623999999999999</v>
      </c>
      <c r="F98" s="17">
        <f t="shared" si="5"/>
        <v>-4.5012544161106165E-2</v>
      </c>
      <c r="G98" s="18">
        <v>43101</v>
      </c>
      <c r="H98" s="17">
        <v>18.668004356000001</v>
      </c>
      <c r="I98" s="17">
        <f t="shared" si="6"/>
        <v>0.20179936378413568</v>
      </c>
      <c r="J98" s="18">
        <v>43101</v>
      </c>
      <c r="K98" s="17">
        <v>39.836187006000003</v>
      </c>
      <c r="L98" s="17">
        <f t="shared" si="7"/>
        <v>2.9129461382727543E-2</v>
      </c>
    </row>
    <row r="99" spans="1:12" x14ac:dyDescent="0.3">
      <c r="A99" s="18">
        <v>43132</v>
      </c>
      <c r="B99" s="17">
        <v>85353.600000000006</v>
      </c>
      <c r="C99" s="17">
        <f t="shared" si="4"/>
        <v>5.1789577323283677E-3</v>
      </c>
      <c r="D99" s="18">
        <v>43132</v>
      </c>
      <c r="E99" s="17">
        <v>3.2448999999999999</v>
      </c>
      <c r="F99" s="17">
        <f t="shared" si="5"/>
        <v>2.5753300039886004E-2</v>
      </c>
      <c r="G99" s="18">
        <v>43132</v>
      </c>
      <c r="H99" s="17">
        <v>20.335805761</v>
      </c>
      <c r="I99" s="17">
        <f t="shared" si="6"/>
        <v>8.5572101488413724E-2</v>
      </c>
      <c r="J99" s="18">
        <v>43132</v>
      </c>
      <c r="K99" s="17">
        <v>43.296024719000002</v>
      </c>
      <c r="L99" s="17">
        <f t="shared" si="7"/>
        <v>8.3285102463152197E-2</v>
      </c>
    </row>
    <row r="100" spans="1:12" x14ac:dyDescent="0.3">
      <c r="A100" s="18">
        <v>43160</v>
      </c>
      <c r="B100" s="17">
        <v>85365.56</v>
      </c>
      <c r="C100" s="17">
        <f t="shared" si="4"/>
        <v>1.4011315448775362E-4</v>
      </c>
      <c r="D100" s="18">
        <v>43160</v>
      </c>
      <c r="E100" s="17">
        <v>3.3237999999999999</v>
      </c>
      <c r="F100" s="17">
        <f t="shared" si="5"/>
        <v>2.4024173671061036E-2</v>
      </c>
      <c r="G100" s="18">
        <v>43160</v>
      </c>
      <c r="H100" s="17">
        <v>20.288425039</v>
      </c>
      <c r="I100" s="17">
        <f t="shared" si="6"/>
        <v>-2.3326346149024628E-3</v>
      </c>
      <c r="J100" s="18">
        <v>43160</v>
      </c>
      <c r="K100" s="17">
        <v>41.027447752</v>
      </c>
      <c r="L100" s="17">
        <f t="shared" si="7"/>
        <v>-5.3819522835014649E-2</v>
      </c>
    </row>
    <row r="101" spans="1:12" x14ac:dyDescent="0.3">
      <c r="A101" s="18">
        <v>43191</v>
      </c>
      <c r="B101" s="17">
        <v>86115.5</v>
      </c>
      <c r="C101" s="17">
        <f t="shared" si="4"/>
        <v>8.7466776929713812E-3</v>
      </c>
      <c r="D101" s="18">
        <v>43191</v>
      </c>
      <c r="E101" s="17">
        <v>3.4811000000000001</v>
      </c>
      <c r="F101" s="17">
        <f t="shared" si="5"/>
        <v>4.6239629082583437E-2</v>
      </c>
      <c r="G101" s="18">
        <v>43191</v>
      </c>
      <c r="H101" s="17">
        <v>21.766703556</v>
      </c>
      <c r="I101" s="17">
        <f t="shared" si="6"/>
        <v>7.0330914073944817E-2</v>
      </c>
      <c r="J101" s="18">
        <v>43191</v>
      </c>
      <c r="K101" s="17">
        <v>47.306464867999999</v>
      </c>
      <c r="L101" s="17">
        <f t="shared" si="7"/>
        <v>0.14240566404516627</v>
      </c>
    </row>
    <row r="102" spans="1:12" x14ac:dyDescent="0.3">
      <c r="A102" s="18">
        <v>43221</v>
      </c>
      <c r="B102" s="17">
        <v>76753.61</v>
      </c>
      <c r="C102" s="17">
        <f t="shared" si="4"/>
        <v>-0.11508899726847638</v>
      </c>
      <c r="D102" s="18">
        <v>43221</v>
      </c>
      <c r="E102" s="17">
        <v>3.7370000000000001</v>
      </c>
      <c r="F102" s="17">
        <f t="shared" si="5"/>
        <v>7.0934814709477642E-2</v>
      </c>
      <c r="G102" s="18">
        <v>43221</v>
      </c>
      <c r="H102" s="17">
        <v>18.021693407000001</v>
      </c>
      <c r="I102" s="17">
        <f t="shared" si="6"/>
        <v>-0.18880522085915072</v>
      </c>
      <c r="J102" s="18">
        <v>43221</v>
      </c>
      <c r="K102" s="17">
        <v>49.211553653000003</v>
      </c>
      <c r="L102" s="17">
        <f t="shared" si="7"/>
        <v>3.9481462146754943E-2</v>
      </c>
    </row>
    <row r="103" spans="1:12" x14ac:dyDescent="0.3">
      <c r="A103" s="18">
        <v>43252</v>
      </c>
      <c r="B103" s="17">
        <v>72762.52</v>
      </c>
      <c r="C103" s="17">
        <f t="shared" si="4"/>
        <v>-5.3399433727097906E-2</v>
      </c>
      <c r="D103" s="18">
        <v>43252</v>
      </c>
      <c r="E103" s="17">
        <v>3.8557999999999999</v>
      </c>
      <c r="F103" s="17">
        <f t="shared" si="5"/>
        <v>3.1295357679884603E-2</v>
      </c>
      <c r="G103" s="18">
        <v>43252</v>
      </c>
      <c r="H103" s="17">
        <v>16.32207111</v>
      </c>
      <c r="I103" s="17">
        <f t="shared" si="6"/>
        <v>-9.905797378227893E-2</v>
      </c>
      <c r="J103" s="18">
        <v>43252</v>
      </c>
      <c r="K103" s="17">
        <v>48.200690215999998</v>
      </c>
      <c r="L103" s="17">
        <f t="shared" si="7"/>
        <v>-2.0755085487409574E-2</v>
      </c>
    </row>
    <row r="104" spans="1:12" x14ac:dyDescent="0.3">
      <c r="A104" s="18">
        <v>43282</v>
      </c>
      <c r="B104" s="17">
        <v>79220.44</v>
      </c>
      <c r="C104" s="17">
        <f t="shared" si="4"/>
        <v>8.5033358866660538E-2</v>
      </c>
      <c r="D104" s="18">
        <v>43282</v>
      </c>
      <c r="E104" s="17">
        <v>3.7549000000000001</v>
      </c>
      <c r="F104" s="17">
        <f t="shared" si="5"/>
        <v>-2.651685448020423E-2</v>
      </c>
      <c r="G104" s="18">
        <v>43282</v>
      </c>
      <c r="H104" s="17">
        <v>18.724330557999998</v>
      </c>
      <c r="I104" s="17">
        <f t="shared" si="6"/>
        <v>0.13730552978849278</v>
      </c>
      <c r="J104" s="18">
        <v>43282</v>
      </c>
      <c r="K104" s="17">
        <v>53.303606602999999</v>
      </c>
      <c r="L104" s="17">
        <f t="shared" si="7"/>
        <v>0.1006306541920611</v>
      </c>
    </row>
    <row r="105" spans="1:12" x14ac:dyDescent="0.3">
      <c r="A105" s="18">
        <v>43313</v>
      </c>
      <c r="B105" s="17">
        <v>76677.53</v>
      </c>
      <c r="C105" s="17">
        <f t="shared" si="4"/>
        <v>-3.2625640461959197E-2</v>
      </c>
      <c r="D105" s="18">
        <v>43313</v>
      </c>
      <c r="E105" s="17">
        <v>4.1353</v>
      </c>
      <c r="F105" s="17">
        <f t="shared" si="5"/>
        <v>9.6498223531470917E-2</v>
      </c>
      <c r="G105" s="18">
        <v>43313</v>
      </c>
      <c r="H105" s="17">
        <v>18.333297873999999</v>
      </c>
      <c r="I105" s="17">
        <f t="shared" si="6"/>
        <v>-2.1104815105500496E-2</v>
      </c>
      <c r="J105" s="18">
        <v>43313</v>
      </c>
      <c r="K105" s="17">
        <v>53.62</v>
      </c>
      <c r="L105" s="17">
        <f t="shared" si="7"/>
        <v>5.918137827700563E-3</v>
      </c>
    </row>
    <row r="106" spans="1:12" x14ac:dyDescent="0.3">
      <c r="A106" s="18">
        <v>43344</v>
      </c>
      <c r="B106" s="17">
        <v>79342.429999999993</v>
      </c>
      <c r="C106" s="17">
        <f t="shared" si="4"/>
        <v>3.4164336426133736E-2</v>
      </c>
      <c r="D106" s="18">
        <v>43344</v>
      </c>
      <c r="E106" s="17">
        <v>4.0038999999999998</v>
      </c>
      <c r="F106" s="17">
        <f t="shared" si="5"/>
        <v>-3.2290991118380109E-2</v>
      </c>
      <c r="G106" s="18">
        <v>43344</v>
      </c>
      <c r="H106" s="17">
        <v>20.075246738000001</v>
      </c>
      <c r="I106" s="17">
        <f t="shared" si="6"/>
        <v>9.0768588149722371E-2</v>
      </c>
      <c r="J106" s="18">
        <v>43344</v>
      </c>
      <c r="K106" s="17">
        <v>59.82</v>
      </c>
      <c r="L106" s="17">
        <f t="shared" si="7"/>
        <v>0.10941792039398884</v>
      </c>
    </row>
    <row r="107" spans="1:12" x14ac:dyDescent="0.3">
      <c r="A107" s="18">
        <v>43374</v>
      </c>
      <c r="B107" s="17">
        <v>87423.55</v>
      </c>
      <c r="C107" s="17">
        <f t="shared" si="4"/>
        <v>9.6991654871545124E-2</v>
      </c>
      <c r="D107" s="18">
        <v>43374</v>
      </c>
      <c r="E107" s="17">
        <v>3.7176999999999998</v>
      </c>
      <c r="F107" s="17">
        <f t="shared" si="5"/>
        <v>-7.416368861458833E-2</v>
      </c>
      <c r="G107" s="18">
        <v>43374</v>
      </c>
      <c r="H107" s="17">
        <v>26.291053338000001</v>
      </c>
      <c r="I107" s="17">
        <f t="shared" si="6"/>
        <v>0.26974115348119287</v>
      </c>
      <c r="J107" s="18">
        <v>43374</v>
      </c>
      <c r="K107" s="17">
        <v>56.71</v>
      </c>
      <c r="L107" s="17">
        <f t="shared" si="7"/>
        <v>-5.338949117586534E-2</v>
      </c>
    </row>
    <row r="108" spans="1:12" x14ac:dyDescent="0.3">
      <c r="A108" s="18">
        <v>43405</v>
      </c>
      <c r="B108" s="17">
        <v>89504.03</v>
      </c>
      <c r="C108" s="17">
        <f t="shared" si="4"/>
        <v>2.3518955032985907E-2</v>
      </c>
      <c r="D108" s="18">
        <v>43405</v>
      </c>
      <c r="E108" s="17">
        <v>3.8633000000000002</v>
      </c>
      <c r="F108" s="17">
        <f t="shared" si="5"/>
        <v>3.8416543017102171E-2</v>
      </c>
      <c r="G108" s="18">
        <v>43405</v>
      </c>
      <c r="H108" s="17">
        <v>24.331651804</v>
      </c>
      <c r="I108" s="17">
        <f t="shared" si="6"/>
        <v>-7.745065790066312E-2</v>
      </c>
      <c r="J108" s="18">
        <v>43405</v>
      </c>
      <c r="K108" s="17">
        <v>52.8</v>
      </c>
      <c r="L108" s="17">
        <f t="shared" si="7"/>
        <v>-7.1439371313720967E-2</v>
      </c>
    </row>
    <row r="109" spans="1:12" x14ac:dyDescent="0.3">
      <c r="A109" s="18">
        <v>43435</v>
      </c>
      <c r="B109" s="17">
        <v>87887.27</v>
      </c>
      <c r="C109" s="17">
        <f t="shared" si="4"/>
        <v>-1.822868166012525E-2</v>
      </c>
      <c r="D109" s="18">
        <v>43435</v>
      </c>
      <c r="E109" s="17">
        <v>3.8748</v>
      </c>
      <c r="F109" s="17">
        <f t="shared" si="5"/>
        <v>2.972308051460963E-3</v>
      </c>
      <c r="G109" s="18">
        <v>43435</v>
      </c>
      <c r="H109" s="17">
        <v>22.402550191</v>
      </c>
      <c r="I109" s="17">
        <f t="shared" si="6"/>
        <v>-8.2603245953964607E-2</v>
      </c>
      <c r="J109" s="18">
        <v>43435</v>
      </c>
      <c r="K109" s="17">
        <v>51</v>
      </c>
      <c r="L109" s="17">
        <f t="shared" si="7"/>
        <v>-3.4685557987889984E-2</v>
      </c>
    </row>
    <row r="110" spans="1:12" x14ac:dyDescent="0.3">
      <c r="A110" s="18">
        <v>43466</v>
      </c>
      <c r="B110" s="17">
        <v>97393.75</v>
      </c>
      <c r="C110" s="17">
        <f t="shared" si="4"/>
        <v>0.10270706967186932</v>
      </c>
      <c r="D110" s="18">
        <v>43466</v>
      </c>
      <c r="E110" s="17">
        <v>3.6518999999999999</v>
      </c>
      <c r="F110" s="17">
        <f t="shared" si="5"/>
        <v>-5.9246468468569499E-2</v>
      </c>
      <c r="G110" s="18">
        <v>43466</v>
      </c>
      <c r="H110" s="17">
        <v>25.267073804999999</v>
      </c>
      <c r="I110" s="17">
        <f t="shared" si="6"/>
        <v>0.12032731731142245</v>
      </c>
      <c r="J110" s="18">
        <v>43466</v>
      </c>
      <c r="K110" s="17">
        <v>45.5</v>
      </c>
      <c r="L110" s="17">
        <f t="shared" si="7"/>
        <v>-0.11411330676742099</v>
      </c>
    </row>
    <row r="111" spans="1:12" x14ac:dyDescent="0.3">
      <c r="A111" s="18">
        <v>43497</v>
      </c>
      <c r="B111" s="17">
        <v>95584.35</v>
      </c>
      <c r="C111" s="17">
        <f t="shared" si="4"/>
        <v>-1.8752936484089194E-2</v>
      </c>
      <c r="D111" s="18">
        <v>43497</v>
      </c>
      <c r="E111" s="17">
        <v>3.7385000000000002</v>
      </c>
      <c r="F111" s="17">
        <f t="shared" si="5"/>
        <v>2.3436881356310002E-2</v>
      </c>
      <c r="G111" s="18">
        <v>43497</v>
      </c>
      <c r="H111" s="17">
        <v>26.728968613999999</v>
      </c>
      <c r="I111" s="17">
        <f t="shared" si="6"/>
        <v>5.6245826566818445E-2</v>
      </c>
      <c r="J111" s="18">
        <v>43497</v>
      </c>
      <c r="K111" s="17">
        <v>47.1</v>
      </c>
      <c r="L111" s="17">
        <f t="shared" si="7"/>
        <v>3.4560675065467429E-2</v>
      </c>
    </row>
    <row r="112" spans="1:12" x14ac:dyDescent="0.3">
      <c r="A112" s="18">
        <v>43525</v>
      </c>
      <c r="B112" s="17">
        <v>95414.56</v>
      </c>
      <c r="C112" s="17">
        <f t="shared" si="4"/>
        <v>-1.7779163737147335E-3</v>
      </c>
      <c r="D112" s="18">
        <v>43525</v>
      </c>
      <c r="E112" s="17">
        <v>3.8967000000000001</v>
      </c>
      <c r="F112" s="17">
        <f t="shared" si="5"/>
        <v>4.144557964137769E-2</v>
      </c>
      <c r="G112" s="18">
        <v>43525</v>
      </c>
      <c r="H112" s="17">
        <v>27.716735377999999</v>
      </c>
      <c r="I112" s="17">
        <f t="shared" si="6"/>
        <v>3.6288451958125759E-2</v>
      </c>
      <c r="J112" s="18">
        <v>43525</v>
      </c>
      <c r="K112" s="17">
        <v>50.93</v>
      </c>
      <c r="L112" s="17">
        <f t="shared" si="7"/>
        <v>7.817913987414106E-2</v>
      </c>
    </row>
    <row r="113" spans="1:12" x14ac:dyDescent="0.3">
      <c r="A113" s="18">
        <v>43556</v>
      </c>
      <c r="B113" s="17">
        <v>96353.33</v>
      </c>
      <c r="C113" s="17">
        <f t="shared" si="4"/>
        <v>9.7907684037081416E-3</v>
      </c>
      <c r="D113" s="18">
        <v>43556</v>
      </c>
      <c r="E113" s="17">
        <v>3.9453</v>
      </c>
      <c r="F113" s="17">
        <f t="shared" si="5"/>
        <v>1.2394955934680946E-2</v>
      </c>
      <c r="G113" s="18">
        <v>43556</v>
      </c>
      <c r="H113" s="17">
        <v>26.797073455</v>
      </c>
      <c r="I113" s="17">
        <f t="shared" si="6"/>
        <v>-3.3743713915870797E-2</v>
      </c>
      <c r="J113" s="18">
        <v>43556</v>
      </c>
      <c r="K113" s="17">
        <v>50.1</v>
      </c>
      <c r="L113" s="17">
        <f t="shared" si="7"/>
        <v>-1.6431132805694089E-2</v>
      </c>
    </row>
    <row r="114" spans="1:12" x14ac:dyDescent="0.3">
      <c r="A114" s="18">
        <v>43586</v>
      </c>
      <c r="B114" s="17">
        <v>97030.32</v>
      </c>
      <c r="C114" s="17">
        <f t="shared" si="4"/>
        <v>7.0015512231661053E-3</v>
      </c>
      <c r="D114" s="18">
        <v>43586</v>
      </c>
      <c r="E114" s="17">
        <v>3.9407000000000001</v>
      </c>
      <c r="F114" s="17">
        <f t="shared" si="5"/>
        <v>-1.1666245299826428E-3</v>
      </c>
      <c r="G114" s="18">
        <v>43586</v>
      </c>
      <c r="H114" s="17">
        <v>25.350779726999999</v>
      </c>
      <c r="I114" s="17">
        <f t="shared" si="6"/>
        <v>-5.5483194088120733E-2</v>
      </c>
      <c r="J114" s="18">
        <v>43586</v>
      </c>
      <c r="K114" s="17">
        <v>49</v>
      </c>
      <c r="L114" s="17">
        <f t="shared" si="7"/>
        <v>-2.220070998019253E-2</v>
      </c>
    </row>
    <row r="115" spans="1:12" x14ac:dyDescent="0.3">
      <c r="A115" s="18">
        <v>43617</v>
      </c>
      <c r="B115" s="17">
        <v>100967.2</v>
      </c>
      <c r="C115" s="17">
        <f t="shared" si="4"/>
        <v>3.9772204641649669E-2</v>
      </c>
      <c r="D115" s="18">
        <v>43617</v>
      </c>
      <c r="E115" s="17">
        <v>3.8321999999999998</v>
      </c>
      <c r="F115" s="17">
        <f t="shared" si="5"/>
        <v>-2.7919321690447831E-2</v>
      </c>
      <c r="G115" s="18">
        <v>43617</v>
      </c>
      <c r="H115" s="17">
        <v>27.196276803</v>
      </c>
      <c r="I115" s="17">
        <f t="shared" si="6"/>
        <v>7.0270593664376629E-2</v>
      </c>
      <c r="J115" s="18">
        <v>43617</v>
      </c>
      <c r="K115" s="17">
        <v>51.82</v>
      </c>
      <c r="L115" s="17">
        <f t="shared" si="7"/>
        <v>5.5955877023337326E-2</v>
      </c>
    </row>
    <row r="116" spans="1:12" x14ac:dyDescent="0.3">
      <c r="A116" s="18">
        <v>43647</v>
      </c>
      <c r="B116" s="17">
        <v>101812.13</v>
      </c>
      <c r="C116" s="17">
        <f t="shared" si="4"/>
        <v>8.3335406017840622E-3</v>
      </c>
      <c r="D116" s="18">
        <v>43647</v>
      </c>
      <c r="E116" s="17">
        <v>3.7648999999999999</v>
      </c>
      <c r="F116" s="17">
        <f t="shared" si="5"/>
        <v>-1.7717750339305602E-2</v>
      </c>
      <c r="G116" s="18">
        <v>43647</v>
      </c>
      <c r="H116" s="17">
        <v>25.876647172999999</v>
      </c>
      <c r="I116" s="17">
        <f t="shared" si="6"/>
        <v>-4.9739173270778141E-2</v>
      </c>
      <c r="J116" s="18">
        <v>43647</v>
      </c>
      <c r="K116" s="17">
        <v>49.81</v>
      </c>
      <c r="L116" s="17">
        <f t="shared" si="7"/>
        <v>-3.9560408048771839E-2</v>
      </c>
    </row>
    <row r="117" spans="1:12" x14ac:dyDescent="0.3">
      <c r="A117" s="18">
        <v>43678</v>
      </c>
      <c r="B117" s="17">
        <v>101134.61</v>
      </c>
      <c r="C117" s="17">
        <f t="shared" si="4"/>
        <v>-6.6768504584373859E-3</v>
      </c>
      <c r="D117" s="18">
        <v>43678</v>
      </c>
      <c r="E117" s="17">
        <v>4.1384999999999996</v>
      </c>
      <c r="F117" s="17">
        <f t="shared" si="5"/>
        <v>9.4612102869157555E-2</v>
      </c>
      <c r="G117" s="18">
        <v>43678</v>
      </c>
      <c r="H117" s="17">
        <v>25.5</v>
      </c>
      <c r="I117" s="17">
        <f t="shared" si="6"/>
        <v>-1.4662456254916759E-2</v>
      </c>
      <c r="J117" s="18">
        <v>43678</v>
      </c>
      <c r="K117" s="17">
        <v>45.57</v>
      </c>
      <c r="L117" s="17">
        <f t="shared" si="7"/>
        <v>-8.8966161809400882E-2</v>
      </c>
    </row>
    <row r="118" spans="1:12" x14ac:dyDescent="0.3">
      <c r="A118" s="18">
        <v>43709</v>
      </c>
      <c r="B118" s="17">
        <v>104531.93</v>
      </c>
      <c r="C118" s="17">
        <f t="shared" si="4"/>
        <v>3.304017320727827E-2</v>
      </c>
      <c r="D118" s="18">
        <v>43709</v>
      </c>
      <c r="E118" s="17">
        <v>4.0972</v>
      </c>
      <c r="F118" s="17">
        <f t="shared" si="5"/>
        <v>-1.0029589763070838E-2</v>
      </c>
      <c r="G118" s="18">
        <v>43709</v>
      </c>
      <c r="H118" s="17">
        <v>27.22</v>
      </c>
      <c r="I118" s="17">
        <f t="shared" si="6"/>
        <v>6.5273545058939494E-2</v>
      </c>
      <c r="J118" s="18">
        <v>43709</v>
      </c>
      <c r="K118" s="17">
        <v>48.4</v>
      </c>
      <c r="L118" s="17">
        <f t="shared" si="7"/>
        <v>6.0250208446794837E-2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EB46-0648-894C-B121-E74D5CC81D41}">
  <dimension ref="A1:J15"/>
  <sheetViews>
    <sheetView topLeftCell="C1" zoomScale="150" zoomScaleNormal="150" workbookViewId="0">
      <selection activeCell="F3" sqref="F3"/>
    </sheetView>
  </sheetViews>
  <sheetFormatPr defaultColWidth="11.19921875" defaultRowHeight="15.6" x14ac:dyDescent="0.3"/>
  <cols>
    <col min="1" max="1" width="13.5" bestFit="1" customWidth="1"/>
    <col min="2" max="2" width="13.5" customWidth="1"/>
    <col min="3" max="3" width="13.19921875" bestFit="1" customWidth="1"/>
    <col min="4" max="4" width="12.19921875" bestFit="1" customWidth="1"/>
    <col min="5" max="5" width="13.19921875" bestFit="1" customWidth="1"/>
    <col min="9" max="9" width="11.5" customWidth="1"/>
    <col min="10" max="10" width="12.5" bestFit="1" customWidth="1"/>
  </cols>
  <sheetData>
    <row r="1" spans="1:10" x14ac:dyDescent="0.3">
      <c r="B1" s="1" t="s">
        <v>21</v>
      </c>
      <c r="C1" s="1" t="s">
        <v>22</v>
      </c>
    </row>
    <row r="2" spans="1:10" x14ac:dyDescent="0.3">
      <c r="A2" t="s">
        <v>23</v>
      </c>
      <c r="B2" s="7">
        <v>0.1341</v>
      </c>
      <c r="C2" s="7">
        <v>0.26619999999999999</v>
      </c>
      <c r="E2" t="s">
        <v>24</v>
      </c>
      <c r="F2" s="30">
        <f>CORREL(B2:B6,C2:C6)</f>
        <v>-0.60000438182738969</v>
      </c>
    </row>
    <row r="3" spans="1:10" x14ac:dyDescent="0.3">
      <c r="A3" t="s">
        <v>25</v>
      </c>
      <c r="B3" s="7">
        <v>9.4000000000000004E-3</v>
      </c>
      <c r="C3" s="7">
        <v>0.45129999999999998</v>
      </c>
    </row>
    <row r="4" spans="1:10" x14ac:dyDescent="0.3">
      <c r="A4" t="s">
        <v>26</v>
      </c>
      <c r="B4" s="7">
        <v>0.1021</v>
      </c>
      <c r="C4" s="7">
        <v>0.2021</v>
      </c>
      <c r="G4" s="1" t="s">
        <v>44</v>
      </c>
      <c r="H4" s="1" t="s">
        <v>45</v>
      </c>
      <c r="I4" t="s">
        <v>46</v>
      </c>
      <c r="J4" t="s">
        <v>47</v>
      </c>
    </row>
    <row r="5" spans="1:10" x14ac:dyDescent="0.3">
      <c r="A5" t="s">
        <v>27</v>
      </c>
      <c r="B5" s="7">
        <v>4.9099999999999998E-2</v>
      </c>
      <c r="C5" s="7">
        <v>0.17369999999999999</v>
      </c>
      <c r="G5" s="3">
        <v>1</v>
      </c>
      <c r="H5" s="3">
        <v>0</v>
      </c>
      <c r="I5" s="4">
        <f>G5*$B$8+H5*$C$8</f>
        <v>7.9999999999999988E-2</v>
      </c>
      <c r="J5" s="7">
        <f>SQRT(G5^2*$B$9^2+H5^2*$C$9^2+2*G5*H5*$F$2*$B$9*$C$9)</f>
        <v>4.9986198095074222E-2</v>
      </c>
    </row>
    <row r="6" spans="1:10" x14ac:dyDescent="0.3">
      <c r="A6" t="s">
        <v>28</v>
      </c>
      <c r="B6" s="7">
        <v>0.1053</v>
      </c>
      <c r="C6" s="7">
        <v>0.15670000000000001</v>
      </c>
      <c r="G6" s="3">
        <v>0.9</v>
      </c>
      <c r="H6" s="3">
        <v>0.1</v>
      </c>
      <c r="I6" s="4">
        <f t="shared" ref="I6:I15" si="0">G6*$B$8+H6*$C$8</f>
        <v>9.7000000000000003E-2</v>
      </c>
      <c r="J6" s="7">
        <f t="shared" ref="J6:J15" si="1">SQRT(G6^2*$B$9^2+H6^2*$C$9^2+2*G6*H6*$F$2*$B$9*$C$9)</f>
        <v>3.8987694853633008E-2</v>
      </c>
    </row>
    <row r="7" spans="1:10" x14ac:dyDescent="0.3">
      <c r="E7" t="s">
        <v>48</v>
      </c>
      <c r="G7" s="3">
        <v>0.8</v>
      </c>
      <c r="H7" s="3">
        <v>0.2</v>
      </c>
      <c r="I7" s="4">
        <f t="shared" si="0"/>
        <v>0.11399999999999999</v>
      </c>
      <c r="J7" s="7">
        <f t="shared" si="1"/>
        <v>3.1991036244548264E-2</v>
      </c>
    </row>
    <row r="8" spans="1:10" x14ac:dyDescent="0.3">
      <c r="A8" t="s">
        <v>35</v>
      </c>
      <c r="B8" s="4">
        <f>AVERAGE(B2:B6)</f>
        <v>7.9999999999999988E-2</v>
      </c>
      <c r="C8" s="4">
        <f>AVERAGE(C2:C6)</f>
        <v>0.25</v>
      </c>
      <c r="G8" s="3">
        <v>0.7</v>
      </c>
      <c r="H8" s="3">
        <v>0.3</v>
      </c>
      <c r="I8" s="4">
        <f t="shared" si="0"/>
        <v>0.13099999999999998</v>
      </c>
      <c r="J8" s="7">
        <f t="shared" si="1"/>
        <v>3.1761268079218745E-2</v>
      </c>
    </row>
    <row r="9" spans="1:10" x14ac:dyDescent="0.3">
      <c r="A9" t="s">
        <v>42</v>
      </c>
      <c r="B9" s="7">
        <f>_xlfn.STDEV.S(B2:B6)</f>
        <v>4.9986198095074222E-2</v>
      </c>
      <c r="C9" s="7">
        <f>_xlfn.STDEV.S(C2:C6)</f>
        <v>0.12000533321482003</v>
      </c>
      <c r="G9" s="3">
        <v>0.6</v>
      </c>
      <c r="H9" s="3">
        <v>0.4</v>
      </c>
      <c r="I9" s="4">
        <f t="shared" si="0"/>
        <v>0.14799999999999999</v>
      </c>
      <c r="J9" s="7">
        <f t="shared" si="1"/>
        <v>3.8419989588754436E-2</v>
      </c>
    </row>
    <row r="10" spans="1:10" x14ac:dyDescent="0.3">
      <c r="G10" s="3">
        <v>0.5</v>
      </c>
      <c r="H10" s="3">
        <v>0.5</v>
      </c>
      <c r="I10" s="4">
        <f t="shared" si="0"/>
        <v>0.16499999999999998</v>
      </c>
      <c r="J10" s="7">
        <f t="shared" si="1"/>
        <v>4.9248134482434938E-2</v>
      </c>
    </row>
    <row r="11" spans="1:10" x14ac:dyDescent="0.3">
      <c r="A11" t="s">
        <v>43</v>
      </c>
      <c r="B11" s="1" t="s">
        <v>44</v>
      </c>
      <c r="C11" s="1" t="s">
        <v>45</v>
      </c>
      <c r="D11" t="s">
        <v>46</v>
      </c>
      <c r="E11" t="s">
        <v>47</v>
      </c>
      <c r="G11" s="3">
        <v>0.4</v>
      </c>
      <c r="H11" s="3">
        <v>0.6</v>
      </c>
      <c r="I11" s="4">
        <f t="shared" si="0"/>
        <v>0.182</v>
      </c>
      <c r="J11" s="7">
        <f t="shared" si="1"/>
        <v>6.2101751988168544E-2</v>
      </c>
    </row>
    <row r="12" spans="1:10" x14ac:dyDescent="0.3">
      <c r="A12" s="5">
        <f>C12+B12</f>
        <v>10000</v>
      </c>
      <c r="B12" s="2">
        <v>5000</v>
      </c>
      <c r="C12" s="2">
        <v>5000</v>
      </c>
      <c r="G12" s="3">
        <v>0.3</v>
      </c>
      <c r="H12" s="3">
        <v>0.7</v>
      </c>
      <c r="I12" s="4">
        <f t="shared" si="0"/>
        <v>0.19899999999999998</v>
      </c>
      <c r="J12" s="7">
        <f t="shared" si="1"/>
        <v>7.5959477025582478E-2</v>
      </c>
    </row>
    <row r="13" spans="1:10" x14ac:dyDescent="0.3">
      <c r="B13" s="7">
        <f>B12/A12</f>
        <v>0.5</v>
      </c>
      <c r="C13" s="7">
        <f>C12/A12</f>
        <v>0.5</v>
      </c>
      <c r="D13" s="4">
        <f>B8*$B$13+C8*$C$13</f>
        <v>0.16499999999999998</v>
      </c>
      <c r="E13" s="7">
        <f>SQRT(B13^2*$B$9^2+C13^2*$C$9^2+2*B13*C13*$F$2*$B$9*$C$9)</f>
        <v>4.9248134482434938E-2</v>
      </c>
      <c r="G13" s="3">
        <v>0.2</v>
      </c>
      <c r="H13" s="3">
        <v>0.8</v>
      </c>
      <c r="I13" s="4">
        <f t="shared" si="0"/>
        <v>0.216</v>
      </c>
      <c r="J13" s="7">
        <f t="shared" si="1"/>
        <v>9.036051350009025E-2</v>
      </c>
    </row>
    <row r="14" spans="1:10" x14ac:dyDescent="0.3">
      <c r="G14" s="3">
        <v>0.1</v>
      </c>
      <c r="H14" s="3">
        <v>0.9</v>
      </c>
      <c r="I14" s="4">
        <f t="shared" si="0"/>
        <v>0.23300000000000001</v>
      </c>
      <c r="J14" s="7">
        <f t="shared" si="1"/>
        <v>0.10508172224511735</v>
      </c>
    </row>
    <row r="15" spans="1:10" x14ac:dyDescent="0.3">
      <c r="G15" s="3">
        <v>0</v>
      </c>
      <c r="H15" s="3">
        <v>1</v>
      </c>
      <c r="I15" s="4">
        <f t="shared" si="0"/>
        <v>0.25</v>
      </c>
      <c r="J15" s="7">
        <f t="shared" si="1"/>
        <v>0.12000533321482003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6034-267E-2E46-ACE0-AF29379CC898}">
  <dimension ref="A1:E5"/>
  <sheetViews>
    <sheetView zoomScale="230" zoomScaleNormal="230" workbookViewId="0">
      <selection sqref="A1:E5"/>
    </sheetView>
  </sheetViews>
  <sheetFormatPr defaultColWidth="11.19921875" defaultRowHeight="15.6" x14ac:dyDescent="0.3"/>
  <sheetData>
    <row r="1" spans="1:5" x14ac:dyDescent="0.3">
      <c r="A1" s="34"/>
      <c r="B1" s="34" t="s">
        <v>13</v>
      </c>
      <c r="C1" s="34" t="s">
        <v>49</v>
      </c>
      <c r="D1" s="34" t="s">
        <v>50</v>
      </c>
      <c r="E1" s="34" t="s">
        <v>51</v>
      </c>
    </row>
    <row r="2" spans="1:5" x14ac:dyDescent="0.3">
      <c r="A2" t="s">
        <v>13</v>
      </c>
      <c r="B2">
        <v>1</v>
      </c>
    </row>
    <row r="3" spans="1:5" x14ac:dyDescent="0.3">
      <c r="A3" t="s">
        <v>49</v>
      </c>
      <c r="B3">
        <v>0.19067677749081516</v>
      </c>
      <c r="C3">
        <v>1</v>
      </c>
    </row>
    <row r="4" spans="1:5" x14ac:dyDescent="0.3">
      <c r="A4" t="s">
        <v>50</v>
      </c>
      <c r="B4">
        <v>0.39308722991950273</v>
      </c>
      <c r="C4">
        <v>-0.15390935298580793</v>
      </c>
      <c r="D4">
        <v>1</v>
      </c>
    </row>
    <row r="5" spans="1:5" ht="16.2" thickBot="1" x14ac:dyDescent="0.35">
      <c r="A5" s="33" t="s">
        <v>51</v>
      </c>
      <c r="B5" s="33">
        <v>0.35236009727238121</v>
      </c>
      <c r="C5" s="33">
        <v>6.3174508214226738E-2</v>
      </c>
      <c r="D5" s="33">
        <v>0.11154181556481864</v>
      </c>
      <c r="E5" s="33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E918-C87B-3B48-83C4-5D96D25BFDBA}">
  <dimension ref="A1:E11"/>
  <sheetViews>
    <sheetView tabSelected="1" zoomScale="210" zoomScaleNormal="210" workbookViewId="0">
      <selection activeCell="F16" sqref="F16"/>
    </sheetView>
  </sheetViews>
  <sheetFormatPr defaultColWidth="11.19921875" defaultRowHeight="15.6" x14ac:dyDescent="0.3"/>
  <cols>
    <col min="2" max="5" width="12" bestFit="1" customWidth="1"/>
  </cols>
  <sheetData>
    <row r="1" spans="1:5" x14ac:dyDescent="0.3">
      <c r="A1" s="34"/>
      <c r="B1" s="34" t="s">
        <v>13</v>
      </c>
      <c r="C1" s="34" t="s">
        <v>49</v>
      </c>
      <c r="D1" s="34" t="s">
        <v>50</v>
      </c>
      <c r="E1" s="34" t="s">
        <v>51</v>
      </c>
    </row>
    <row r="2" spans="1:5" x14ac:dyDescent="0.3">
      <c r="A2" t="s">
        <v>13</v>
      </c>
      <c r="B2" s="35">
        <f>VARP('Cotações Google Planilhas'!$F$3:$F$26)</f>
        <v>1.764208019721757E-4</v>
      </c>
      <c r="C2" s="35"/>
      <c r="D2" s="35"/>
      <c r="E2" s="35"/>
    </row>
    <row r="3" spans="1:5" x14ac:dyDescent="0.3">
      <c r="A3" t="s">
        <v>49</v>
      </c>
      <c r="B3" s="35">
        <v>2.7857529971692139E-5</v>
      </c>
      <c r="C3" s="35">
        <f>VARP('Cotações Google Planilhas'!$G$3:$G$26)</f>
        <v>1.2098730803079343E-4</v>
      </c>
      <c r="D3" s="35"/>
      <c r="E3" s="35"/>
    </row>
    <row r="4" spans="1:5" x14ac:dyDescent="0.3">
      <c r="A4" t="s">
        <v>50</v>
      </c>
      <c r="B4" s="35">
        <v>1.9415230383946686E-4</v>
      </c>
      <c r="C4" s="35">
        <v>-6.2952594902427941E-5</v>
      </c>
      <c r="D4" s="35">
        <f>VARP('Cotações Google Planilhas'!$H$3:$H$26)</f>
        <v>1.382793833314767E-3</v>
      </c>
      <c r="E4" s="35"/>
    </row>
    <row r="5" spans="1:5" ht="16.2" thickBot="1" x14ac:dyDescent="0.35">
      <c r="A5" s="33" t="s">
        <v>51</v>
      </c>
      <c r="B5" s="36">
        <v>4.9037007720883643E-5</v>
      </c>
      <c r="C5" s="36">
        <v>7.2807165035003642E-6</v>
      </c>
      <c r="D5" s="36">
        <v>4.3458904084240546E-5</v>
      </c>
      <c r="E5" s="36">
        <f>VARP('Cotações Google Planilhas'!$I$3:$I$26)</f>
        <v>1.097803695111708E-4</v>
      </c>
    </row>
    <row r="6" spans="1:5" ht="16.2" thickBot="1" x14ac:dyDescent="0.35"/>
    <row r="7" spans="1:5" x14ac:dyDescent="0.3">
      <c r="A7" s="34"/>
      <c r="B7" s="34" t="s">
        <v>13</v>
      </c>
      <c r="C7" s="34" t="s">
        <v>49</v>
      </c>
      <c r="D7" s="34" t="s">
        <v>50</v>
      </c>
      <c r="E7" s="34" t="s">
        <v>51</v>
      </c>
    </row>
    <row r="8" spans="1:5" x14ac:dyDescent="0.3">
      <c r="A8" t="s">
        <v>13</v>
      </c>
      <c r="B8">
        <v>1</v>
      </c>
    </row>
    <row r="9" spans="1:5" x14ac:dyDescent="0.3">
      <c r="A9" t="s">
        <v>49</v>
      </c>
      <c r="B9">
        <v>0.19067677749081516</v>
      </c>
      <c r="C9">
        <v>1</v>
      </c>
    </row>
    <row r="10" spans="1:5" x14ac:dyDescent="0.3">
      <c r="A10" t="s">
        <v>50</v>
      </c>
      <c r="B10">
        <v>0.39308722991950273</v>
      </c>
      <c r="C10">
        <v>-0.15390935298580793</v>
      </c>
      <c r="D10">
        <v>1</v>
      </c>
    </row>
    <row r="11" spans="1:5" ht="16.2" thickBot="1" x14ac:dyDescent="0.35">
      <c r="A11" s="33" t="s">
        <v>51</v>
      </c>
      <c r="B11" s="33">
        <v>0.35236009727238121</v>
      </c>
      <c r="C11" s="33">
        <v>6.3174508214226738E-2</v>
      </c>
      <c r="D11" s="33">
        <v>0.11154181556481864</v>
      </c>
      <c r="E11" s="33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28DE-1B0F-A048-9B2D-0F792D2277F4}">
  <dimension ref="A1:I26"/>
  <sheetViews>
    <sheetView zoomScale="140" zoomScaleNormal="140" workbookViewId="0">
      <selection activeCell="K2" sqref="K2"/>
    </sheetView>
  </sheetViews>
  <sheetFormatPr defaultColWidth="11.19921875" defaultRowHeight="15.6" x14ac:dyDescent="0.3"/>
  <sheetData>
    <row r="1" spans="1:9" x14ac:dyDescent="0.3">
      <c r="A1" s="31" t="s">
        <v>13</v>
      </c>
      <c r="B1" s="31" t="s">
        <v>49</v>
      </c>
      <c r="C1" s="31" t="s">
        <v>50</v>
      </c>
      <c r="D1" s="31" t="s">
        <v>51</v>
      </c>
    </row>
    <row r="2" spans="1:9" x14ac:dyDescent="0.3">
      <c r="A2" s="31">
        <v>37.78</v>
      </c>
      <c r="B2" s="31">
        <v>77.05</v>
      </c>
      <c r="C2" s="31">
        <v>1.92</v>
      </c>
      <c r="D2" s="31">
        <v>16.75</v>
      </c>
      <c r="F2" s="31" t="s">
        <v>13</v>
      </c>
      <c r="G2" s="31" t="s">
        <v>49</v>
      </c>
      <c r="H2" s="31" t="s">
        <v>50</v>
      </c>
      <c r="I2" s="31" t="s">
        <v>51</v>
      </c>
    </row>
    <row r="3" spans="1:9" x14ac:dyDescent="0.3">
      <c r="A3" s="31">
        <v>38.96</v>
      </c>
      <c r="B3" s="31">
        <v>76.650000000000006</v>
      </c>
      <c r="C3" s="31">
        <v>1.87</v>
      </c>
      <c r="D3" s="31">
        <v>16.75</v>
      </c>
      <c r="F3" s="32">
        <f>A3/A2-1</f>
        <v>3.1233456855479069E-2</v>
      </c>
      <c r="G3" s="32">
        <f t="shared" ref="G3:I3" si="0">B3/B2-1</f>
        <v>-5.1914341336792846E-3</v>
      </c>
      <c r="H3" s="32">
        <f t="shared" si="0"/>
        <v>-2.604166666666663E-2</v>
      </c>
      <c r="I3" s="32">
        <f t="shared" si="0"/>
        <v>0</v>
      </c>
    </row>
    <row r="4" spans="1:9" x14ac:dyDescent="0.3">
      <c r="A4" s="31">
        <v>38.630000000000003</v>
      </c>
      <c r="B4" s="31">
        <v>75.62</v>
      </c>
      <c r="C4" s="31">
        <v>1.81</v>
      </c>
      <c r="D4" s="31">
        <v>16.52</v>
      </c>
      <c r="F4" s="32">
        <f t="shared" ref="F4:F26" si="1">A4/A3-1</f>
        <v>-8.4702258726898627E-3</v>
      </c>
      <c r="G4" s="32">
        <f t="shared" ref="G4:G26" si="2">B4/B3-1</f>
        <v>-1.3437703848662719E-2</v>
      </c>
      <c r="H4" s="32">
        <f t="shared" ref="H4:H26" si="3">C4/C3-1</f>
        <v>-3.208556149732622E-2</v>
      </c>
      <c r="I4" s="32">
        <f t="shared" ref="I4:I26" si="4">D4/D3-1</f>
        <v>-1.3731343283582165E-2</v>
      </c>
    </row>
    <row r="5" spans="1:9" x14ac:dyDescent="0.3">
      <c r="A5" s="31">
        <v>38.72</v>
      </c>
      <c r="B5" s="31">
        <v>74.650000000000006</v>
      </c>
      <c r="C5" s="31">
        <v>1.84</v>
      </c>
      <c r="D5" s="31">
        <v>16.88</v>
      </c>
      <c r="F5" s="32">
        <f t="shared" si="1"/>
        <v>2.3297954957286482E-3</v>
      </c>
      <c r="G5" s="32">
        <f t="shared" si="2"/>
        <v>-1.2827294366569708E-2</v>
      </c>
      <c r="H5" s="32">
        <f t="shared" si="3"/>
        <v>1.6574585635359185E-2</v>
      </c>
      <c r="I5" s="32">
        <f t="shared" si="4"/>
        <v>2.1791767554479424E-2</v>
      </c>
    </row>
    <row r="6" spans="1:9" x14ac:dyDescent="0.3">
      <c r="A6" s="31">
        <v>38.43</v>
      </c>
      <c r="B6" s="31">
        <v>74.27</v>
      </c>
      <c r="C6" s="31">
        <v>1.95</v>
      </c>
      <c r="D6" s="31">
        <v>16.75</v>
      </c>
      <c r="F6" s="32">
        <f t="shared" si="1"/>
        <v>-7.4896694214875437E-3</v>
      </c>
      <c r="G6" s="32">
        <f t="shared" si="2"/>
        <v>-5.0904219691896291E-3</v>
      </c>
      <c r="H6" s="32">
        <f t="shared" si="3"/>
        <v>5.9782608695652106E-2</v>
      </c>
      <c r="I6" s="32">
        <f t="shared" si="4"/>
        <v>-7.7014218009477942E-3</v>
      </c>
    </row>
    <row r="7" spans="1:9" x14ac:dyDescent="0.3">
      <c r="A7" s="31">
        <v>38.1</v>
      </c>
      <c r="B7" s="31">
        <v>73.33</v>
      </c>
      <c r="C7" s="31">
        <v>2</v>
      </c>
      <c r="D7" s="31">
        <v>16.3</v>
      </c>
      <c r="F7" s="32">
        <f t="shared" si="1"/>
        <v>-8.5870413739266294E-3</v>
      </c>
      <c r="G7" s="32">
        <f t="shared" si="2"/>
        <v>-1.2656523495354732E-2</v>
      </c>
      <c r="H7" s="32">
        <f t="shared" si="3"/>
        <v>2.5641025641025772E-2</v>
      </c>
      <c r="I7" s="32">
        <f t="shared" si="4"/>
        <v>-2.6865671641790989E-2</v>
      </c>
    </row>
    <row r="8" spans="1:9" x14ac:dyDescent="0.3">
      <c r="A8" s="31">
        <v>37.75</v>
      </c>
      <c r="B8" s="31">
        <v>72.23</v>
      </c>
      <c r="C8" s="31">
        <v>2.04</v>
      </c>
      <c r="D8" s="31">
        <v>16.02</v>
      </c>
      <c r="F8" s="32">
        <f t="shared" si="1"/>
        <v>-9.1863517060367661E-3</v>
      </c>
      <c r="G8" s="32">
        <f t="shared" si="2"/>
        <v>-1.5000681849174913E-2</v>
      </c>
      <c r="H8" s="32">
        <f t="shared" si="3"/>
        <v>2.0000000000000018E-2</v>
      </c>
      <c r="I8" s="32">
        <f t="shared" si="4"/>
        <v>-1.7177914110429571E-2</v>
      </c>
    </row>
    <row r="9" spans="1:9" x14ac:dyDescent="0.3">
      <c r="A9" s="31">
        <v>38.07</v>
      </c>
      <c r="B9" s="31">
        <v>72.61</v>
      </c>
      <c r="C9" s="31">
        <v>2.04</v>
      </c>
      <c r="D9" s="31">
        <v>15.94</v>
      </c>
      <c r="F9" s="32">
        <f t="shared" si="1"/>
        <v>8.4768211920529524E-3</v>
      </c>
      <c r="G9" s="32">
        <f t="shared" si="2"/>
        <v>5.2609718953342544E-3</v>
      </c>
      <c r="H9" s="32">
        <f t="shared" si="3"/>
        <v>0</v>
      </c>
      <c r="I9" s="32">
        <f t="shared" si="4"/>
        <v>-4.993757802746579E-3</v>
      </c>
    </row>
    <row r="10" spans="1:9" x14ac:dyDescent="0.3">
      <c r="A10" s="31">
        <v>38.17</v>
      </c>
      <c r="B10" s="31">
        <v>71.69</v>
      </c>
      <c r="C10" s="31">
        <v>2.11</v>
      </c>
      <c r="D10" s="31">
        <v>15.81</v>
      </c>
      <c r="F10" s="32">
        <f t="shared" si="1"/>
        <v>2.6267402153927755E-3</v>
      </c>
      <c r="G10" s="32">
        <f t="shared" si="2"/>
        <v>-1.2670431070100574E-2</v>
      </c>
      <c r="H10" s="32">
        <f t="shared" si="3"/>
        <v>3.4313725490195957E-2</v>
      </c>
      <c r="I10" s="32">
        <f t="shared" si="4"/>
        <v>-8.1555834378920222E-3</v>
      </c>
    </row>
    <row r="11" spans="1:9" x14ac:dyDescent="0.3">
      <c r="A11" s="31">
        <v>38.58</v>
      </c>
      <c r="B11" s="31">
        <v>71.55</v>
      </c>
      <c r="C11" s="31">
        <v>2.13</v>
      </c>
      <c r="D11" s="31">
        <v>15.87</v>
      </c>
      <c r="F11" s="32">
        <f t="shared" si="1"/>
        <v>1.0741419963321786E-2</v>
      </c>
      <c r="G11" s="32">
        <f t="shared" si="2"/>
        <v>-1.9528525596317348E-3</v>
      </c>
      <c r="H11" s="32">
        <f t="shared" si="3"/>
        <v>9.4786729857820884E-3</v>
      </c>
      <c r="I11" s="32">
        <f t="shared" si="4"/>
        <v>3.7950664136621182E-3</v>
      </c>
    </row>
    <row r="12" spans="1:9" x14ac:dyDescent="0.3">
      <c r="A12" s="31">
        <v>38.1</v>
      </c>
      <c r="B12" s="31">
        <v>70.62</v>
      </c>
      <c r="C12" s="31">
        <v>2.04</v>
      </c>
      <c r="D12" s="31">
        <v>15.73</v>
      </c>
      <c r="F12" s="32">
        <f t="shared" si="1"/>
        <v>-1.244167962674958E-2</v>
      </c>
      <c r="G12" s="32">
        <f t="shared" si="2"/>
        <v>-1.2997903563941149E-2</v>
      </c>
      <c r="H12" s="32">
        <f t="shared" si="3"/>
        <v>-4.2253521126760507E-2</v>
      </c>
      <c r="I12" s="32">
        <f t="shared" si="4"/>
        <v>-8.8216761184624071E-3</v>
      </c>
    </row>
    <row r="13" spans="1:9" x14ac:dyDescent="0.3">
      <c r="A13" s="31">
        <v>37.880000000000003</v>
      </c>
      <c r="B13" s="31">
        <v>69.349999999999994</v>
      </c>
      <c r="C13" s="31">
        <v>2.0099999999999998</v>
      </c>
      <c r="D13" s="31">
        <v>15.76</v>
      </c>
      <c r="F13" s="32">
        <f t="shared" si="1"/>
        <v>-5.7742782152230276E-3</v>
      </c>
      <c r="G13" s="32">
        <f t="shared" si="2"/>
        <v>-1.7983574058340612E-2</v>
      </c>
      <c r="H13" s="32">
        <f t="shared" si="3"/>
        <v>-1.4705882352941346E-2</v>
      </c>
      <c r="I13" s="32">
        <f t="shared" si="4"/>
        <v>1.9071837253654689E-3</v>
      </c>
    </row>
    <row r="14" spans="1:9" x14ac:dyDescent="0.3">
      <c r="A14" s="31">
        <v>37.729999999999997</v>
      </c>
      <c r="B14" s="31">
        <v>69</v>
      </c>
      <c r="C14" s="31">
        <v>1.87</v>
      </c>
      <c r="D14" s="31">
        <v>15.67</v>
      </c>
      <c r="F14" s="32">
        <f t="shared" si="1"/>
        <v>-3.9598732840551154E-3</v>
      </c>
      <c r="G14" s="32">
        <f t="shared" si="2"/>
        <v>-5.0468637346791079E-3</v>
      </c>
      <c r="H14" s="32">
        <f t="shared" si="3"/>
        <v>-6.9651741293532132E-2</v>
      </c>
      <c r="I14" s="32">
        <f t="shared" si="4"/>
        <v>-5.7106598984771884E-3</v>
      </c>
    </row>
    <row r="15" spans="1:9" x14ac:dyDescent="0.3">
      <c r="A15" s="31">
        <v>37.53</v>
      </c>
      <c r="B15" s="31">
        <v>68.099999999999994</v>
      </c>
      <c r="C15" s="31">
        <v>1.9</v>
      </c>
      <c r="D15" s="31">
        <v>15.64</v>
      </c>
      <c r="F15" s="32">
        <f t="shared" si="1"/>
        <v>-5.3008216273521258E-3</v>
      </c>
      <c r="G15" s="32">
        <f t="shared" si="2"/>
        <v>-1.3043478260869601E-2</v>
      </c>
      <c r="H15" s="32">
        <f t="shared" si="3"/>
        <v>1.6042780748662944E-2</v>
      </c>
      <c r="I15" s="32">
        <f t="shared" si="4"/>
        <v>-1.9144862795149598E-3</v>
      </c>
    </row>
    <row r="16" spans="1:9" x14ac:dyDescent="0.3">
      <c r="A16" s="31">
        <v>37.700000000000003</v>
      </c>
      <c r="B16" s="31">
        <v>67.8</v>
      </c>
      <c r="C16" s="31">
        <v>1.82</v>
      </c>
      <c r="D16" s="31">
        <v>15.46</v>
      </c>
      <c r="F16" s="32">
        <f t="shared" si="1"/>
        <v>4.5297095656808839E-3</v>
      </c>
      <c r="G16" s="32">
        <f t="shared" si="2"/>
        <v>-4.405286343612258E-3</v>
      </c>
      <c r="H16" s="32">
        <f t="shared" si="3"/>
        <v>-4.2105263157894646E-2</v>
      </c>
      <c r="I16" s="32">
        <f t="shared" si="4"/>
        <v>-1.1508951406649648E-2</v>
      </c>
    </row>
    <row r="17" spans="1:9" x14ac:dyDescent="0.3">
      <c r="A17" s="31">
        <v>38.17</v>
      </c>
      <c r="B17" s="31">
        <v>69.2</v>
      </c>
      <c r="C17" s="31">
        <v>1.81</v>
      </c>
      <c r="D17" s="31">
        <v>15.38</v>
      </c>
      <c r="F17" s="32">
        <f t="shared" si="1"/>
        <v>1.2466843501326208E-2</v>
      </c>
      <c r="G17" s="32">
        <f t="shared" si="2"/>
        <v>2.0648967551622599E-2</v>
      </c>
      <c r="H17" s="32">
        <f t="shared" si="3"/>
        <v>-5.494505494505475E-3</v>
      </c>
      <c r="I17" s="32">
        <f t="shared" si="4"/>
        <v>-5.1746442432082373E-3</v>
      </c>
    </row>
    <row r="18" spans="1:9" x14ac:dyDescent="0.3">
      <c r="A18" s="31">
        <v>37.880000000000003</v>
      </c>
      <c r="B18" s="31">
        <v>69.900000000000006</v>
      </c>
      <c r="C18" s="31">
        <v>1.8</v>
      </c>
      <c r="D18" s="31">
        <v>15.32</v>
      </c>
      <c r="F18" s="32">
        <f t="shared" si="1"/>
        <v>-7.5975897301545636E-3</v>
      </c>
      <c r="G18" s="32">
        <f t="shared" si="2"/>
        <v>1.0115606936416333E-2</v>
      </c>
      <c r="H18" s="32">
        <f t="shared" si="3"/>
        <v>-5.5248618784530246E-3</v>
      </c>
      <c r="I18" s="32">
        <f t="shared" si="4"/>
        <v>-3.9011703511053764E-3</v>
      </c>
    </row>
    <row r="19" spans="1:9" x14ac:dyDescent="0.3">
      <c r="A19" s="31">
        <v>39.28</v>
      </c>
      <c r="B19" s="31">
        <v>68.180000000000007</v>
      </c>
      <c r="C19" s="31">
        <v>1.94</v>
      </c>
      <c r="D19" s="31">
        <v>15.36</v>
      </c>
      <c r="F19" s="32">
        <f t="shared" si="1"/>
        <v>3.6958817317845893E-2</v>
      </c>
      <c r="G19" s="32">
        <f t="shared" si="2"/>
        <v>-2.4606580829756752E-2</v>
      </c>
      <c r="H19" s="32">
        <f t="shared" si="3"/>
        <v>7.7777777777777724E-2</v>
      </c>
      <c r="I19" s="32">
        <f t="shared" si="4"/>
        <v>2.6109660574411553E-3</v>
      </c>
    </row>
    <row r="20" spans="1:9" x14ac:dyDescent="0.3">
      <c r="A20" s="31">
        <v>39.96</v>
      </c>
      <c r="B20" s="31">
        <v>69.5</v>
      </c>
      <c r="C20" s="31">
        <v>1.95</v>
      </c>
      <c r="D20" s="31">
        <v>15.52</v>
      </c>
      <c r="F20" s="32">
        <f t="shared" si="1"/>
        <v>1.731160896130346E-2</v>
      </c>
      <c r="G20" s="32">
        <f t="shared" si="2"/>
        <v>1.9360516280434004E-2</v>
      </c>
      <c r="H20" s="32">
        <f t="shared" si="3"/>
        <v>5.1546391752577136E-3</v>
      </c>
      <c r="I20" s="32">
        <f t="shared" si="4"/>
        <v>1.0416666666666741E-2</v>
      </c>
    </row>
    <row r="21" spans="1:9" x14ac:dyDescent="0.3">
      <c r="A21" s="31">
        <v>40.57</v>
      </c>
      <c r="B21" s="31">
        <v>69.17</v>
      </c>
      <c r="C21" s="31">
        <v>1.94</v>
      </c>
      <c r="D21" s="31">
        <v>15.38</v>
      </c>
      <c r="F21" s="32">
        <f t="shared" si="1"/>
        <v>1.5265265265265171E-2</v>
      </c>
      <c r="G21" s="32">
        <f t="shared" si="2"/>
        <v>-4.7482014388489091E-3</v>
      </c>
      <c r="H21" s="32">
        <f t="shared" si="3"/>
        <v>-5.12820512820511E-3</v>
      </c>
      <c r="I21" s="32">
        <f t="shared" si="4"/>
        <v>-9.0206185567009989E-3</v>
      </c>
    </row>
    <row r="22" spans="1:9" x14ac:dyDescent="0.3">
      <c r="A22" s="31">
        <v>40.32</v>
      </c>
      <c r="B22" s="31">
        <v>68.78</v>
      </c>
      <c r="C22" s="31">
        <v>1.85</v>
      </c>
      <c r="D22" s="31">
        <v>15.27</v>
      </c>
      <c r="F22" s="32">
        <f t="shared" si="1"/>
        <v>-6.1621888094651744E-3</v>
      </c>
      <c r="G22" s="32">
        <f t="shared" si="2"/>
        <v>-5.6382824924100516E-3</v>
      </c>
      <c r="H22" s="32">
        <f t="shared" si="3"/>
        <v>-4.6391752577319534E-2</v>
      </c>
      <c r="I22" s="32">
        <f t="shared" si="4"/>
        <v>-7.152145643693153E-3</v>
      </c>
    </row>
    <row r="23" spans="1:9" x14ac:dyDescent="0.3">
      <c r="A23" s="31">
        <v>40.76</v>
      </c>
      <c r="B23" s="31">
        <v>67.760000000000005</v>
      </c>
      <c r="C23" s="31">
        <v>1.96</v>
      </c>
      <c r="D23" s="31">
        <v>15.35</v>
      </c>
      <c r="F23" s="32">
        <f t="shared" si="1"/>
        <v>1.0912698412698374E-2</v>
      </c>
      <c r="G23" s="32">
        <f t="shared" si="2"/>
        <v>-1.4829892410584411E-2</v>
      </c>
      <c r="H23" s="32">
        <f t="shared" si="3"/>
        <v>5.9459459459459296E-2</v>
      </c>
      <c r="I23" s="32">
        <f t="shared" si="4"/>
        <v>5.2390307793057644E-3</v>
      </c>
    </row>
    <row r="24" spans="1:9" x14ac:dyDescent="0.3">
      <c r="A24" s="31">
        <v>41.57</v>
      </c>
      <c r="B24" s="31">
        <v>67.45</v>
      </c>
      <c r="C24" s="31">
        <v>2.06</v>
      </c>
      <c r="D24" s="31">
        <v>15.32</v>
      </c>
      <c r="F24" s="32">
        <f t="shared" si="1"/>
        <v>1.9872423945044293E-2</v>
      </c>
      <c r="G24" s="32">
        <f t="shared" si="2"/>
        <v>-4.5749704840614136E-3</v>
      </c>
      <c r="H24" s="32">
        <f t="shared" si="3"/>
        <v>5.1020408163265252E-2</v>
      </c>
      <c r="I24" s="32">
        <f t="shared" si="4"/>
        <v>-1.9543973941367199E-3</v>
      </c>
    </row>
    <row r="25" spans="1:9" x14ac:dyDescent="0.3">
      <c r="A25" s="31">
        <v>41.03</v>
      </c>
      <c r="B25" s="31">
        <v>66.08</v>
      </c>
      <c r="C25" s="31">
        <v>1.97</v>
      </c>
      <c r="D25" s="31">
        <v>15.32</v>
      </c>
      <c r="F25" s="32">
        <f t="shared" si="1"/>
        <v>-1.2990137118114031E-2</v>
      </c>
      <c r="G25" s="32">
        <f t="shared" si="2"/>
        <v>-2.0311341734618349E-2</v>
      </c>
      <c r="H25" s="32">
        <f t="shared" si="3"/>
        <v>-4.3689320388349606E-2</v>
      </c>
      <c r="I25" s="32">
        <f t="shared" si="4"/>
        <v>0</v>
      </c>
    </row>
    <row r="26" spans="1:9" x14ac:dyDescent="0.3">
      <c r="A26" s="31">
        <v>41.21</v>
      </c>
      <c r="B26" s="31">
        <v>65.510000000000005</v>
      </c>
      <c r="C26" s="31">
        <v>1.95</v>
      </c>
      <c r="D26" s="31">
        <v>15.63</v>
      </c>
      <c r="F26" s="32">
        <f t="shared" si="1"/>
        <v>4.3870338776506035E-3</v>
      </c>
      <c r="G26" s="32">
        <f t="shared" si="2"/>
        <v>-8.6259079903147073E-3</v>
      </c>
      <c r="H26" s="32">
        <f t="shared" si="3"/>
        <v>-1.0152284263959421E-2</v>
      </c>
      <c r="I26" s="32">
        <f t="shared" si="4"/>
        <v>2.0234986945169675E-2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B7D3-2F47-A244-B8C2-84586DCB9557}">
  <dimension ref="A1:G54"/>
  <sheetViews>
    <sheetView topLeftCell="C36" zoomScale="150" zoomScaleNormal="150" workbookViewId="0">
      <selection activeCell="F55" sqref="F55"/>
    </sheetView>
  </sheetViews>
  <sheetFormatPr defaultColWidth="11.19921875" defaultRowHeight="15.6" x14ac:dyDescent="0.3"/>
  <cols>
    <col min="1" max="1" width="11.69921875" bestFit="1" customWidth="1"/>
    <col min="2" max="2" width="14.19921875" bestFit="1" customWidth="1"/>
    <col min="3" max="3" width="15.69921875" bestFit="1" customWidth="1"/>
    <col min="4" max="4" width="16.69921875" bestFit="1" customWidth="1"/>
    <col min="5" max="5" width="15.796875" bestFit="1" customWidth="1"/>
    <col min="6" max="6" width="20.5" bestFit="1" customWidth="1"/>
    <col min="7" max="7" width="28.69921875" bestFit="1" customWidth="1"/>
  </cols>
  <sheetData>
    <row r="1" spans="1: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52</v>
      </c>
      <c r="G1" s="1" t="s">
        <v>53</v>
      </c>
    </row>
    <row r="2" spans="1:7" x14ac:dyDescent="0.3">
      <c r="A2" s="1" t="s">
        <v>1</v>
      </c>
      <c r="B2" s="2">
        <v>10000</v>
      </c>
      <c r="C2" s="4">
        <v>0.02</v>
      </c>
      <c r="D2" s="4">
        <f>1-C2</f>
        <v>0.98</v>
      </c>
      <c r="E2" s="3">
        <v>0</v>
      </c>
      <c r="F2" s="5">
        <f>B2*(1-E2)</f>
        <v>10000</v>
      </c>
      <c r="G2" s="5">
        <f>F2*C2</f>
        <v>200</v>
      </c>
    </row>
    <row r="3" spans="1:7" x14ac:dyDescent="0.3">
      <c r="A3" s="1" t="s">
        <v>2</v>
      </c>
      <c r="B3" s="2">
        <v>20000</v>
      </c>
      <c r="C3" s="4">
        <v>0.05</v>
      </c>
      <c r="D3" s="4">
        <f t="shared" ref="D3:D4" si="0">1-C3</f>
        <v>0.95</v>
      </c>
      <c r="E3" s="3">
        <v>0</v>
      </c>
      <c r="F3" s="5">
        <f t="shared" ref="F3:F4" si="1">B3*(1-E3)</f>
        <v>20000</v>
      </c>
      <c r="G3" s="5">
        <f t="shared" ref="G3:G4" si="2">F3*C3</f>
        <v>1000</v>
      </c>
    </row>
    <row r="4" spans="1:7" x14ac:dyDescent="0.3">
      <c r="A4" s="1" t="s">
        <v>3</v>
      </c>
      <c r="B4" s="2">
        <v>70000</v>
      </c>
      <c r="C4" s="4">
        <v>0.1</v>
      </c>
      <c r="D4" s="4">
        <f t="shared" si="0"/>
        <v>0.9</v>
      </c>
      <c r="E4" s="3">
        <v>0</v>
      </c>
      <c r="F4" s="5">
        <f t="shared" si="1"/>
        <v>70000</v>
      </c>
      <c r="G4" s="5">
        <f t="shared" si="2"/>
        <v>7000</v>
      </c>
    </row>
    <row r="5" spans="1:7" x14ac:dyDescent="0.3">
      <c r="A5" s="1"/>
      <c r="F5" s="1" t="s">
        <v>54</v>
      </c>
      <c r="G5" s="37">
        <f>SUM(G2:G4)</f>
        <v>8200</v>
      </c>
    </row>
    <row r="6" spans="1:7" x14ac:dyDescent="0.3">
      <c r="A6" s="39" t="s">
        <v>56</v>
      </c>
      <c r="G6" s="38" t="s">
        <v>55</v>
      </c>
    </row>
    <row r="7" spans="1:7" x14ac:dyDescent="0.3">
      <c r="A7" s="46" t="s">
        <v>57</v>
      </c>
      <c r="B7" s="46"/>
      <c r="C7" s="46"/>
      <c r="D7" s="46"/>
      <c r="E7" s="46"/>
    </row>
    <row r="8" spans="1:7" x14ac:dyDescent="0.3">
      <c r="A8" s="1" t="s">
        <v>58</v>
      </c>
      <c r="B8" s="1" t="s">
        <v>59</v>
      </c>
      <c r="C8" s="1" t="s">
        <v>60</v>
      </c>
      <c r="D8" s="1" t="s">
        <v>61</v>
      </c>
      <c r="E8" s="40" t="s">
        <v>62</v>
      </c>
    </row>
    <row r="9" spans="1:7" x14ac:dyDescent="0.3">
      <c r="A9" s="1">
        <v>0</v>
      </c>
      <c r="B9" s="2">
        <v>0</v>
      </c>
      <c r="C9" s="2">
        <v>0</v>
      </c>
      <c r="D9" s="2">
        <v>0</v>
      </c>
      <c r="E9" s="2">
        <f>SUM(B9:D9)</f>
        <v>0</v>
      </c>
    </row>
    <row r="10" spans="1:7" x14ac:dyDescent="0.3">
      <c r="A10" s="1">
        <v>1</v>
      </c>
      <c r="B10" s="2">
        <f>F2</f>
        <v>10000</v>
      </c>
      <c r="C10" s="2">
        <v>0</v>
      </c>
      <c r="D10" s="2">
        <v>0</v>
      </c>
      <c r="E10" s="2">
        <f t="shared" ref="E10:E16" si="3">SUM(B10:D10)</f>
        <v>10000</v>
      </c>
    </row>
    <row r="11" spans="1:7" x14ac:dyDescent="0.3">
      <c r="A11" s="1">
        <v>1</v>
      </c>
      <c r="B11" s="2">
        <v>0</v>
      </c>
      <c r="C11" s="2">
        <f>F3</f>
        <v>20000</v>
      </c>
      <c r="D11" s="2">
        <v>0</v>
      </c>
      <c r="E11" s="2">
        <f t="shared" si="3"/>
        <v>20000</v>
      </c>
    </row>
    <row r="12" spans="1:7" x14ac:dyDescent="0.3">
      <c r="A12" s="1">
        <v>1</v>
      </c>
      <c r="B12" s="2">
        <v>0</v>
      </c>
      <c r="C12" s="2">
        <v>0</v>
      </c>
      <c r="D12" s="2">
        <f>F4</f>
        <v>70000</v>
      </c>
      <c r="E12" s="2">
        <f t="shared" si="3"/>
        <v>70000</v>
      </c>
    </row>
    <row r="13" spans="1:7" x14ac:dyDescent="0.3">
      <c r="A13" s="1">
        <v>2</v>
      </c>
      <c r="B13" s="2">
        <f>F2</f>
        <v>10000</v>
      </c>
      <c r="C13" s="2">
        <f>F3</f>
        <v>20000</v>
      </c>
      <c r="D13" s="2">
        <v>0</v>
      </c>
      <c r="E13" s="2">
        <f t="shared" si="3"/>
        <v>30000</v>
      </c>
    </row>
    <row r="14" spans="1:7" x14ac:dyDescent="0.3">
      <c r="A14" s="1">
        <v>2</v>
      </c>
      <c r="B14" s="2">
        <f>F2</f>
        <v>10000</v>
      </c>
      <c r="C14" s="2">
        <v>0</v>
      </c>
      <c r="D14" s="2">
        <f>F4</f>
        <v>70000</v>
      </c>
      <c r="E14" s="2">
        <f t="shared" si="3"/>
        <v>80000</v>
      </c>
    </row>
    <row r="15" spans="1:7" x14ac:dyDescent="0.3">
      <c r="A15" s="1">
        <v>2</v>
      </c>
      <c r="B15" s="2">
        <v>0</v>
      </c>
      <c r="C15" s="2">
        <f>F3</f>
        <v>20000</v>
      </c>
      <c r="D15" s="2">
        <f>F4</f>
        <v>70000</v>
      </c>
      <c r="E15" s="2">
        <f t="shared" si="3"/>
        <v>90000</v>
      </c>
    </row>
    <row r="16" spans="1:7" x14ac:dyDescent="0.3">
      <c r="A16" s="1">
        <v>3</v>
      </c>
      <c r="B16" s="2">
        <f>F2</f>
        <v>10000</v>
      </c>
      <c r="C16" s="2">
        <f>F3</f>
        <v>20000</v>
      </c>
      <c r="D16" s="2">
        <f>F4</f>
        <v>70000</v>
      </c>
      <c r="E16" s="2">
        <f t="shared" si="3"/>
        <v>100000</v>
      </c>
    </row>
    <row r="17" spans="1:5" x14ac:dyDescent="0.3">
      <c r="A17" s="1"/>
      <c r="B17" s="2"/>
      <c r="C17" s="2"/>
      <c r="D17" s="2"/>
      <c r="E17" s="2"/>
    </row>
    <row r="18" spans="1:5" x14ac:dyDescent="0.3">
      <c r="A18" s="47" t="s">
        <v>63</v>
      </c>
      <c r="B18" s="47"/>
      <c r="C18" s="47"/>
      <c r="D18" s="47"/>
      <c r="E18" s="47"/>
    </row>
    <row r="19" spans="1:5" x14ac:dyDescent="0.3">
      <c r="A19" s="1" t="s">
        <v>58</v>
      </c>
      <c r="B19" s="1" t="s">
        <v>59</v>
      </c>
      <c r="C19" s="1" t="s">
        <v>60</v>
      </c>
      <c r="D19" s="1" t="s">
        <v>61</v>
      </c>
      <c r="E19" s="40" t="s">
        <v>64</v>
      </c>
    </row>
    <row r="20" spans="1:5" x14ac:dyDescent="0.3">
      <c r="A20" s="1">
        <v>0</v>
      </c>
      <c r="B20" s="7">
        <f>D2</f>
        <v>0.98</v>
      </c>
      <c r="C20" s="7">
        <f>D3</f>
        <v>0.95</v>
      </c>
      <c r="D20" s="7">
        <f>D4</f>
        <v>0.9</v>
      </c>
      <c r="E20" s="7">
        <f>B20*C20*D20</f>
        <v>0.83789999999999998</v>
      </c>
    </row>
    <row r="21" spans="1:5" x14ac:dyDescent="0.3">
      <c r="A21" s="1">
        <v>1</v>
      </c>
      <c r="B21" s="7">
        <f>C2</f>
        <v>0.02</v>
      </c>
      <c r="C21" s="7">
        <f>C20</f>
        <v>0.95</v>
      </c>
      <c r="D21" s="7">
        <f>D20</f>
        <v>0.9</v>
      </c>
      <c r="E21" s="7">
        <f t="shared" ref="E21:E27" si="4">B21*C21*D21</f>
        <v>1.7100000000000001E-2</v>
      </c>
    </row>
    <row r="22" spans="1:5" x14ac:dyDescent="0.3">
      <c r="A22" s="1">
        <v>1</v>
      </c>
      <c r="B22" s="7">
        <f>B20</f>
        <v>0.98</v>
      </c>
      <c r="C22" s="7">
        <f>C3</f>
        <v>0.05</v>
      </c>
      <c r="D22" s="7">
        <f>D21</f>
        <v>0.9</v>
      </c>
      <c r="E22" s="7">
        <f t="shared" si="4"/>
        <v>4.41E-2</v>
      </c>
    </row>
    <row r="23" spans="1:5" x14ac:dyDescent="0.3">
      <c r="A23" s="1">
        <v>1</v>
      </c>
      <c r="B23" s="7">
        <f>B22</f>
        <v>0.98</v>
      </c>
      <c r="C23" s="7">
        <f>C20</f>
        <v>0.95</v>
      </c>
      <c r="D23" s="7">
        <f>C4</f>
        <v>0.1</v>
      </c>
      <c r="E23" s="7">
        <f t="shared" si="4"/>
        <v>9.3100000000000002E-2</v>
      </c>
    </row>
    <row r="24" spans="1:5" x14ac:dyDescent="0.3">
      <c r="A24" s="1">
        <v>2</v>
      </c>
      <c r="B24" s="7">
        <f>B21</f>
        <v>0.02</v>
      </c>
      <c r="C24" s="7">
        <f>C22</f>
        <v>0.05</v>
      </c>
      <c r="D24" s="7">
        <f>D22</f>
        <v>0.9</v>
      </c>
      <c r="E24" s="7">
        <f t="shared" si="4"/>
        <v>9.0000000000000008E-4</v>
      </c>
    </row>
    <row r="25" spans="1:5" x14ac:dyDescent="0.3">
      <c r="A25" s="1">
        <v>2</v>
      </c>
      <c r="B25" s="7">
        <f>B24</f>
        <v>0.02</v>
      </c>
      <c r="C25" s="7">
        <f>C23</f>
        <v>0.95</v>
      </c>
      <c r="D25" s="7">
        <f>D23</f>
        <v>0.1</v>
      </c>
      <c r="E25" s="7">
        <f t="shared" si="4"/>
        <v>1.9E-3</v>
      </c>
    </row>
    <row r="26" spans="1:5" x14ac:dyDescent="0.3">
      <c r="A26" s="1">
        <v>2</v>
      </c>
      <c r="B26" s="7">
        <f>B23</f>
        <v>0.98</v>
      </c>
      <c r="C26" s="7">
        <f>C24</f>
        <v>0.05</v>
      </c>
      <c r="D26" s="7">
        <f>D23</f>
        <v>0.1</v>
      </c>
      <c r="E26" s="7">
        <f t="shared" si="4"/>
        <v>4.9000000000000007E-3</v>
      </c>
    </row>
    <row r="27" spans="1:5" x14ac:dyDescent="0.3">
      <c r="A27" s="1">
        <v>3</v>
      </c>
      <c r="B27" s="7">
        <f>B25</f>
        <v>0.02</v>
      </c>
      <c r="C27" s="7">
        <f>C26</f>
        <v>0.05</v>
      </c>
      <c r="D27" s="7">
        <f>D26</f>
        <v>0.1</v>
      </c>
      <c r="E27" s="7">
        <f t="shared" si="4"/>
        <v>1E-4</v>
      </c>
    </row>
    <row r="28" spans="1:5" x14ac:dyDescent="0.3">
      <c r="A28" s="1"/>
      <c r="B28" s="7"/>
      <c r="C28" s="7"/>
      <c r="D28" s="7" t="s">
        <v>54</v>
      </c>
      <c r="E28" s="7">
        <f>SUM(E20:E27)</f>
        <v>1</v>
      </c>
    </row>
    <row r="29" spans="1:5" x14ac:dyDescent="0.3">
      <c r="A29" s="1"/>
      <c r="B29" s="7"/>
      <c r="C29" s="7"/>
      <c r="D29" s="7"/>
      <c r="E29" s="7"/>
    </row>
    <row r="30" spans="1:5" x14ac:dyDescent="0.3">
      <c r="B30" s="40" t="s">
        <v>62</v>
      </c>
      <c r="C30" s="40" t="s">
        <v>64</v>
      </c>
      <c r="D30" s="40" t="s">
        <v>65</v>
      </c>
    </row>
    <row r="31" spans="1:5" x14ac:dyDescent="0.3">
      <c r="B31" s="2">
        <v>0</v>
      </c>
      <c r="C31" s="7">
        <v>0.83789999999999998</v>
      </c>
      <c r="D31" s="2">
        <f>B31*C31</f>
        <v>0</v>
      </c>
    </row>
    <row r="32" spans="1:5" x14ac:dyDescent="0.3">
      <c r="B32" s="2">
        <v>10000</v>
      </c>
      <c r="C32" s="7">
        <v>1.7100000000000001E-2</v>
      </c>
      <c r="D32" s="2">
        <f t="shared" ref="D32:D38" si="5">B32*C32</f>
        <v>171</v>
      </c>
    </row>
    <row r="33" spans="2:6" x14ac:dyDescent="0.3">
      <c r="B33" s="2">
        <v>20000</v>
      </c>
      <c r="C33" s="7">
        <v>4.41E-2</v>
      </c>
      <c r="D33" s="2">
        <f t="shared" si="5"/>
        <v>882</v>
      </c>
    </row>
    <row r="34" spans="2:6" x14ac:dyDescent="0.3">
      <c r="B34" s="2">
        <v>70000</v>
      </c>
      <c r="C34" s="7">
        <v>9.3100000000000002E-2</v>
      </c>
      <c r="D34" s="2">
        <f t="shared" si="5"/>
        <v>6517</v>
      </c>
    </row>
    <row r="35" spans="2:6" x14ac:dyDescent="0.3">
      <c r="B35" s="2">
        <v>30000</v>
      </c>
      <c r="C35" s="7">
        <v>9.0000000000000008E-4</v>
      </c>
      <c r="D35" s="2">
        <f t="shared" si="5"/>
        <v>27.000000000000004</v>
      </c>
    </row>
    <row r="36" spans="2:6" x14ac:dyDescent="0.3">
      <c r="B36" s="2">
        <v>80000</v>
      </c>
      <c r="C36" s="7">
        <v>1.9E-3</v>
      </c>
      <c r="D36" s="2">
        <f t="shared" si="5"/>
        <v>152</v>
      </c>
    </row>
    <row r="37" spans="2:6" x14ac:dyDescent="0.3">
      <c r="B37" s="2">
        <v>90000</v>
      </c>
      <c r="C37" s="7">
        <v>4.9000000000000007E-3</v>
      </c>
      <c r="D37" s="2">
        <f t="shared" si="5"/>
        <v>441.00000000000006</v>
      </c>
    </row>
    <row r="38" spans="2:6" x14ac:dyDescent="0.3">
      <c r="B38" s="2">
        <v>100000</v>
      </c>
      <c r="C38" s="7">
        <v>1E-4</v>
      </c>
      <c r="D38" s="2">
        <f t="shared" si="5"/>
        <v>10</v>
      </c>
    </row>
    <row r="39" spans="2:6" x14ac:dyDescent="0.3">
      <c r="C39" s="1" t="s">
        <v>54</v>
      </c>
      <c r="D39" s="37">
        <f>SUM(D31:D38)</f>
        <v>8200</v>
      </c>
    </row>
    <row r="40" spans="2:6" x14ac:dyDescent="0.3">
      <c r="D40" s="38" t="s">
        <v>55</v>
      </c>
    </row>
    <row r="42" spans="2:6" x14ac:dyDescent="0.3">
      <c r="B42" s="40" t="s">
        <v>62</v>
      </c>
      <c r="C42" s="40" t="s">
        <v>64</v>
      </c>
      <c r="D42" s="8" t="s">
        <v>66</v>
      </c>
    </row>
    <row r="43" spans="2:6" x14ac:dyDescent="0.3">
      <c r="B43" s="2">
        <v>0</v>
      </c>
      <c r="C43" s="7">
        <v>0.83789999999999998</v>
      </c>
      <c r="D43" s="4">
        <f>C43</f>
        <v>0.83789999999999998</v>
      </c>
    </row>
    <row r="44" spans="2:6" x14ac:dyDescent="0.3">
      <c r="B44" s="2">
        <v>10000</v>
      </c>
      <c r="C44" s="7">
        <v>1.7100000000000001E-2</v>
      </c>
      <c r="D44" s="4">
        <f>D43+C44</f>
        <v>0.85499999999999998</v>
      </c>
      <c r="F44" s="1" t="s">
        <v>67</v>
      </c>
    </row>
    <row r="45" spans="2:6" x14ac:dyDescent="0.3">
      <c r="B45" s="2">
        <v>20000</v>
      </c>
      <c r="C45" s="7">
        <v>4.41E-2</v>
      </c>
      <c r="D45" s="4">
        <f t="shared" ref="D45:D50" si="6">D44+C45</f>
        <v>0.89910000000000001</v>
      </c>
      <c r="F45" s="3">
        <v>0.99</v>
      </c>
    </row>
    <row r="46" spans="2:6" x14ac:dyDescent="0.3">
      <c r="B46" s="2">
        <v>30000</v>
      </c>
      <c r="C46" s="7">
        <v>9.0000000000000008E-4</v>
      </c>
      <c r="D46" s="4">
        <f t="shared" si="6"/>
        <v>0.9</v>
      </c>
      <c r="F46" s="1"/>
    </row>
    <row r="47" spans="2:6" x14ac:dyDescent="0.3">
      <c r="B47" s="41">
        <v>70000</v>
      </c>
      <c r="C47" s="42">
        <v>9.3100000000000002E-2</v>
      </c>
      <c r="D47" s="43">
        <f t="shared" si="6"/>
        <v>0.99309999999999998</v>
      </c>
      <c r="F47" t="s">
        <v>68</v>
      </c>
    </row>
    <row r="48" spans="2:6" x14ac:dyDescent="0.3">
      <c r="B48" s="2">
        <v>80000</v>
      </c>
      <c r="C48" s="7">
        <v>1.9E-3</v>
      </c>
      <c r="D48" s="4">
        <f t="shared" si="6"/>
        <v>0.995</v>
      </c>
      <c r="F48" s="5">
        <f>B47</f>
        <v>70000</v>
      </c>
    </row>
    <row r="49" spans="2:6" x14ac:dyDescent="0.3">
      <c r="B49" s="2">
        <v>90000</v>
      </c>
      <c r="C49" s="7">
        <v>4.9000000000000007E-3</v>
      </c>
      <c r="D49" s="4">
        <f t="shared" si="6"/>
        <v>0.99990000000000001</v>
      </c>
    </row>
    <row r="50" spans="2:6" x14ac:dyDescent="0.3">
      <c r="B50" s="2">
        <v>100000</v>
      </c>
      <c r="C50" s="7">
        <v>1E-4</v>
      </c>
      <c r="D50" s="4">
        <f t="shared" si="6"/>
        <v>1</v>
      </c>
      <c r="F50" t="s">
        <v>69</v>
      </c>
    </row>
    <row r="51" spans="2:6" x14ac:dyDescent="0.3">
      <c r="F51" s="5">
        <f>D39</f>
        <v>8200</v>
      </c>
    </row>
    <row r="53" spans="2:6" x14ac:dyDescent="0.3">
      <c r="F53" t="s">
        <v>70</v>
      </c>
    </row>
    <row r="54" spans="2:6" x14ac:dyDescent="0.3">
      <c r="F54" s="5">
        <f>F48-F51</f>
        <v>61800</v>
      </c>
    </row>
  </sheetData>
  <sortState xmlns:xlrd2="http://schemas.microsoft.com/office/spreadsheetml/2017/richdata2" ref="B43:C50">
    <sortCondition ref="B43:B50"/>
  </sortState>
  <mergeCells count="2">
    <mergeCell ref="A7:E7"/>
    <mergeCell ref="A18:E18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90E6-FE88-4141-9E5F-1245CBB8AB19}">
  <dimension ref="A1:F5"/>
  <sheetViews>
    <sheetView zoomScaleNormal="100" workbookViewId="0">
      <selection activeCell="I22" sqref="I22"/>
    </sheetView>
  </sheetViews>
  <sheetFormatPr defaultColWidth="11.19921875" defaultRowHeight="15.6" x14ac:dyDescent="0.3"/>
  <cols>
    <col min="1" max="1" width="16" bestFit="1" customWidth="1"/>
    <col min="2" max="2" width="13.19921875" bestFit="1" customWidth="1"/>
    <col min="4" max="4" width="11.5" bestFit="1" customWidth="1"/>
    <col min="6" max="6" width="15" bestFit="1" customWidth="1"/>
    <col min="7" max="8" width="12" bestFit="1" customWidth="1"/>
  </cols>
  <sheetData>
    <row r="1" spans="1:6" x14ac:dyDescent="0.3">
      <c r="A1" s="8" t="s">
        <v>8</v>
      </c>
    </row>
    <row r="2" spans="1:6" x14ac:dyDescent="0.3">
      <c r="A2" s="10" t="s">
        <v>9</v>
      </c>
      <c r="B2" s="10" t="s">
        <v>10</v>
      </c>
      <c r="E2" s="12" t="s">
        <v>11</v>
      </c>
      <c r="F2" s="6" t="s">
        <v>10</v>
      </c>
    </row>
    <row r="3" spans="1:6" x14ac:dyDescent="0.3">
      <c r="A3" s="10">
        <v>0</v>
      </c>
      <c r="B3" s="11">
        <v>0.7</v>
      </c>
      <c r="E3" s="13">
        <v>500</v>
      </c>
      <c r="F3" s="14">
        <v>0.6</v>
      </c>
    </row>
    <row r="4" spans="1:6" x14ac:dyDescent="0.3">
      <c r="A4" s="10">
        <v>1</v>
      </c>
      <c r="B4" s="11">
        <v>0.2</v>
      </c>
      <c r="E4" s="13">
        <v>10000</v>
      </c>
      <c r="F4" s="14">
        <v>0.3</v>
      </c>
    </row>
    <row r="5" spans="1:6" x14ac:dyDescent="0.3">
      <c r="A5" s="10">
        <v>2</v>
      </c>
      <c r="B5" s="11">
        <v>0.1</v>
      </c>
      <c r="E5" s="13">
        <v>50000</v>
      </c>
      <c r="F5" s="14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1056-3D26-B740-9A11-48E82722678C}">
  <dimension ref="A2:F34"/>
  <sheetViews>
    <sheetView workbookViewId="0">
      <selection activeCell="B36" sqref="B36"/>
    </sheetView>
  </sheetViews>
  <sheetFormatPr defaultColWidth="11.19921875" defaultRowHeight="15.6" x14ac:dyDescent="0.3"/>
  <cols>
    <col min="1" max="1" width="29" bestFit="1" customWidth="1"/>
    <col min="2" max="2" width="12.796875" bestFit="1" customWidth="1"/>
  </cols>
  <sheetData>
    <row r="2" spans="1:6" x14ac:dyDescent="0.3">
      <c r="A2" s="19" t="s">
        <v>29</v>
      </c>
      <c r="B2" s="19" t="s">
        <v>30</v>
      </c>
      <c r="C2" s="19" t="s">
        <v>23</v>
      </c>
      <c r="D2" s="19" t="s">
        <v>25</v>
      </c>
      <c r="E2" s="19" t="s">
        <v>26</v>
      </c>
      <c r="F2" s="19" t="s">
        <v>27</v>
      </c>
    </row>
    <row r="3" spans="1:6" x14ac:dyDescent="0.3">
      <c r="A3" s="8"/>
      <c r="B3" s="9"/>
      <c r="C3" s="20"/>
      <c r="D3" s="20"/>
      <c r="E3" s="20"/>
      <c r="F3" s="20"/>
    </row>
    <row r="4" spans="1:6" x14ac:dyDescent="0.3">
      <c r="C4" s="9"/>
      <c r="D4" s="9"/>
      <c r="E4" s="9"/>
      <c r="F4" s="9"/>
    </row>
    <row r="5" spans="1:6" x14ac:dyDescent="0.3">
      <c r="A5" s="8"/>
      <c r="B5" s="9"/>
      <c r="C5" s="20"/>
      <c r="D5" s="20"/>
      <c r="E5" s="20"/>
      <c r="F5" s="20"/>
    </row>
    <row r="6" spans="1:6" x14ac:dyDescent="0.3">
      <c r="B6" s="9"/>
      <c r="C6" s="9"/>
      <c r="D6" s="9"/>
      <c r="E6" s="9"/>
      <c r="F6" s="9"/>
    </row>
    <row r="7" spans="1:6" x14ac:dyDescent="0.3">
      <c r="A7" s="8"/>
      <c r="B7" s="9"/>
      <c r="C7" s="20"/>
      <c r="D7" s="20"/>
      <c r="E7" s="20"/>
      <c r="F7" s="20"/>
    </row>
    <row r="8" spans="1:6" x14ac:dyDescent="0.3">
      <c r="B8" s="9"/>
      <c r="C8" s="9"/>
      <c r="D8" s="9"/>
      <c r="E8" s="9"/>
      <c r="F8" s="9"/>
    </row>
    <row r="9" spans="1:6" x14ac:dyDescent="0.3">
      <c r="A9" s="8"/>
      <c r="B9" s="9"/>
      <c r="C9" s="20"/>
      <c r="D9" s="20"/>
      <c r="E9" s="20"/>
      <c r="F9" s="20"/>
    </row>
    <row r="10" spans="1:6" x14ac:dyDescent="0.3">
      <c r="B10" s="9"/>
      <c r="C10" s="9"/>
      <c r="D10" s="9"/>
      <c r="E10" s="9"/>
      <c r="F10" s="9"/>
    </row>
    <row r="11" spans="1:6" x14ac:dyDescent="0.3">
      <c r="B11" s="9"/>
      <c r="C11" s="9"/>
      <c r="D11" s="9"/>
      <c r="E11" s="9"/>
      <c r="F11" s="9"/>
    </row>
    <row r="12" spans="1:6" x14ac:dyDescent="0.3">
      <c r="A12" s="8"/>
      <c r="B12" s="21"/>
      <c r="C12" s="21"/>
      <c r="D12" s="21"/>
      <c r="E12" s="21"/>
      <c r="F12" s="21"/>
    </row>
    <row r="32" spans="2:6" x14ac:dyDescent="0.3">
      <c r="B32" s="9"/>
      <c r="D32" s="9"/>
      <c r="E32" s="9"/>
      <c r="F32" s="9"/>
    </row>
    <row r="33" spans="2:6" x14ac:dyDescent="0.3">
      <c r="B33" s="9"/>
      <c r="D33" s="9"/>
      <c r="E33" s="9"/>
      <c r="F33" s="9"/>
    </row>
    <row r="34" spans="2:6" x14ac:dyDescent="0.3">
      <c r="B34" s="9"/>
      <c r="D34" s="9"/>
      <c r="E34" s="9"/>
      <c r="F34" s="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5" ma:contentTypeDescription="Crie um novo documento." ma:contentTypeScope="" ma:versionID="2f87fffddc170bc686509152fc191bc5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dc33c450dcaff2e7fc457f4f114a1bf4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E9861D-30EE-470D-8F16-7D3C0EF5A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53ad8-99bc-4895-b377-eab5d2679348"/>
    <ds:schemaRef ds:uri="45bd9b4a-47bd-4c71-9096-100877aa10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2BFBE4-F853-4D18-BCCA-6963D6CBB6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Risco e Volatilidade</vt:lpstr>
      <vt:lpstr>Correlação</vt:lpstr>
      <vt:lpstr>Markowitz</vt:lpstr>
      <vt:lpstr>Matriz de Correlação</vt:lpstr>
      <vt:lpstr>Matriz de Covariâncias</vt:lpstr>
      <vt:lpstr>Cotações Google Planilhas</vt:lpstr>
      <vt:lpstr>Risco Crédito</vt:lpstr>
      <vt:lpstr>Risco Operacional</vt:lpstr>
      <vt:lpstr>Fluxos de Caixa e Riscos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Mariana Campiche Pexe</cp:lastModifiedBy>
  <dcterms:created xsi:type="dcterms:W3CDTF">2022-04-07T15:52:36Z</dcterms:created>
  <dcterms:modified xsi:type="dcterms:W3CDTF">2024-02-07T13:40:01Z</dcterms:modified>
</cp:coreProperties>
</file>